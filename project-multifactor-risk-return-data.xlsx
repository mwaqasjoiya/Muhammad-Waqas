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000001_{E934450F-DCA9-1A42-809C-A3CD1C120FFE}" xr6:coauthVersionLast="47" xr6:coauthVersionMax="47" xr10:uidLastSave="{00000000-0000-0000-0000-000000000000}"/>
  <bookViews>
    <workbookView xWindow="0" yWindow="0" windowWidth="20490" windowHeight="7905" activeTab="1" xr2:uid="{00000000-000D-0000-FFFF-FFFF00000000}"/>
  </bookViews>
  <sheets>
    <sheet name="Sheet1" sheetId="1" r:id="rId1"/>
    <sheet name="fama french(jpm)" sheetId="4" r:id="rId2"/>
    <sheet name="fama french nvidia" sheetId="5" r:id="rId3"/>
    <sheet name="fama french ko" sheetId="6" r:id="rId4"/>
    <sheet name="jensen alpha" sheetId="7" r:id="rId5"/>
    <sheet name="alph(nvidia)" sheetId="8" r:id="rId6"/>
    <sheet name="jensen alphako" sheetId="9" r:id="rId7"/>
    <sheet name="Sheet2" sheetId="2" r:id="rId8"/>
    <sheet name="Sheet3" sheetId="3" r:id="rId9"/>
  </sheets>
  <definedNames>
    <definedName name="_xlnm._FilterDatabase" localSheetId="0" hidden="1">Sheet1!$A$1:$I$753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Q4" i="1"/>
  <c r="I5" i="1"/>
  <c r="Q5" i="1"/>
  <c r="I6" i="1"/>
  <c r="Q6" i="1"/>
  <c r="I7" i="1"/>
  <c r="Q7" i="1"/>
  <c r="I8" i="1"/>
  <c r="Q8" i="1"/>
  <c r="I9" i="1"/>
  <c r="Q9" i="1"/>
  <c r="I10" i="1"/>
  <c r="Q10" i="1"/>
  <c r="I11" i="1"/>
  <c r="Q11" i="1"/>
  <c r="I12" i="1"/>
  <c r="Q12" i="1"/>
  <c r="I13" i="1"/>
  <c r="Q13" i="1"/>
  <c r="I14" i="1"/>
  <c r="Q14" i="1"/>
  <c r="I15" i="1"/>
  <c r="Q15" i="1"/>
  <c r="I16" i="1"/>
  <c r="Q16" i="1"/>
  <c r="I17" i="1"/>
  <c r="Q17" i="1"/>
  <c r="I18" i="1"/>
  <c r="Q18" i="1"/>
  <c r="I19" i="1"/>
  <c r="Q19" i="1"/>
  <c r="I20" i="1"/>
  <c r="Q20" i="1"/>
  <c r="I21" i="1"/>
  <c r="Q21" i="1"/>
  <c r="I22" i="1"/>
  <c r="Q22" i="1"/>
  <c r="I23" i="1"/>
  <c r="Q23" i="1"/>
  <c r="I24" i="1"/>
  <c r="Q24" i="1"/>
  <c r="I25" i="1"/>
  <c r="Q25" i="1"/>
  <c r="I26" i="1"/>
  <c r="Q26" i="1"/>
  <c r="I27" i="1"/>
  <c r="Q27" i="1"/>
  <c r="I28" i="1"/>
  <c r="Q28" i="1"/>
  <c r="I29" i="1"/>
  <c r="Q29" i="1"/>
  <c r="I30" i="1"/>
  <c r="Q30" i="1"/>
  <c r="I31" i="1"/>
  <c r="Q31" i="1"/>
  <c r="I32" i="1"/>
  <c r="Q32" i="1"/>
  <c r="I33" i="1"/>
  <c r="Q33" i="1"/>
  <c r="I34" i="1"/>
  <c r="Q34" i="1"/>
  <c r="I35" i="1"/>
  <c r="Q35" i="1"/>
  <c r="I36" i="1"/>
  <c r="Q36" i="1"/>
  <c r="I37" i="1"/>
  <c r="Q37" i="1"/>
  <c r="I38" i="1"/>
  <c r="Q38" i="1"/>
  <c r="I39" i="1"/>
  <c r="Q39" i="1"/>
  <c r="I40" i="1"/>
  <c r="Q40" i="1"/>
  <c r="I41" i="1"/>
  <c r="Q41" i="1"/>
  <c r="I42" i="1"/>
  <c r="Q42" i="1"/>
  <c r="I43" i="1"/>
  <c r="Q43" i="1"/>
  <c r="I44" i="1"/>
  <c r="Q44" i="1"/>
  <c r="I45" i="1"/>
  <c r="Q45" i="1"/>
  <c r="I46" i="1"/>
  <c r="Q46" i="1"/>
  <c r="I47" i="1"/>
  <c r="Q47" i="1"/>
  <c r="I48" i="1"/>
  <c r="Q48" i="1"/>
  <c r="I49" i="1"/>
  <c r="Q49" i="1"/>
  <c r="I50" i="1"/>
  <c r="Q50" i="1"/>
  <c r="I51" i="1"/>
  <c r="Q51" i="1"/>
  <c r="I52" i="1"/>
  <c r="Q52" i="1"/>
  <c r="I53" i="1"/>
  <c r="Q53" i="1"/>
  <c r="I54" i="1"/>
  <c r="Q54" i="1"/>
  <c r="I55" i="1"/>
  <c r="Q55" i="1"/>
  <c r="I56" i="1"/>
  <c r="Q56" i="1"/>
  <c r="I57" i="1"/>
  <c r="Q57" i="1"/>
  <c r="I58" i="1"/>
  <c r="Q58" i="1"/>
  <c r="I59" i="1"/>
  <c r="Q59" i="1"/>
  <c r="I60" i="1"/>
  <c r="Q60" i="1"/>
  <c r="I61" i="1"/>
  <c r="Q61" i="1"/>
  <c r="I62" i="1"/>
  <c r="Q62" i="1"/>
  <c r="I63" i="1"/>
  <c r="Q63" i="1"/>
  <c r="I64" i="1"/>
  <c r="Q64" i="1"/>
  <c r="I65" i="1"/>
  <c r="Q65" i="1"/>
  <c r="I66" i="1"/>
  <c r="Q66" i="1"/>
  <c r="I67" i="1"/>
  <c r="Q67" i="1"/>
  <c r="I68" i="1"/>
  <c r="Q68" i="1"/>
  <c r="I69" i="1"/>
  <c r="Q69" i="1"/>
  <c r="I70" i="1"/>
  <c r="Q70" i="1"/>
  <c r="I71" i="1"/>
  <c r="Q71" i="1"/>
  <c r="I72" i="1"/>
  <c r="Q72" i="1"/>
  <c r="I73" i="1"/>
  <c r="Q73" i="1"/>
  <c r="I74" i="1"/>
  <c r="Q74" i="1"/>
  <c r="I75" i="1"/>
  <c r="Q75" i="1"/>
  <c r="I76" i="1"/>
  <c r="Q76" i="1"/>
  <c r="I77" i="1"/>
  <c r="Q77" i="1"/>
  <c r="I78" i="1"/>
  <c r="Q78" i="1"/>
  <c r="I79" i="1"/>
  <c r="Q79" i="1"/>
  <c r="I80" i="1"/>
  <c r="Q80" i="1"/>
  <c r="I81" i="1"/>
  <c r="Q81" i="1"/>
  <c r="I82" i="1"/>
  <c r="Q82" i="1"/>
  <c r="I83" i="1"/>
  <c r="Q83" i="1"/>
  <c r="I84" i="1"/>
  <c r="Q84" i="1"/>
  <c r="I85" i="1"/>
  <c r="Q85" i="1"/>
  <c r="I86" i="1"/>
  <c r="Q86" i="1"/>
  <c r="I87" i="1"/>
  <c r="Q87" i="1"/>
  <c r="I88" i="1"/>
  <c r="Q88" i="1"/>
  <c r="I89" i="1"/>
  <c r="Q89" i="1"/>
  <c r="I90" i="1"/>
  <c r="Q90" i="1"/>
  <c r="I91" i="1"/>
  <c r="Q91" i="1"/>
  <c r="I92" i="1"/>
  <c r="Q92" i="1"/>
  <c r="I93" i="1"/>
  <c r="Q93" i="1"/>
  <c r="I94" i="1"/>
  <c r="Q94" i="1"/>
  <c r="I95" i="1"/>
  <c r="Q95" i="1"/>
  <c r="I96" i="1"/>
  <c r="Q96" i="1"/>
  <c r="I97" i="1"/>
  <c r="Q97" i="1"/>
  <c r="I98" i="1"/>
  <c r="Q98" i="1"/>
  <c r="I99" i="1"/>
  <c r="Q99" i="1"/>
  <c r="I100" i="1"/>
  <c r="Q100" i="1"/>
  <c r="I101" i="1"/>
  <c r="Q101" i="1"/>
  <c r="I102" i="1"/>
  <c r="Q102" i="1"/>
  <c r="I103" i="1"/>
  <c r="Q103" i="1"/>
  <c r="I104" i="1"/>
  <c r="Q104" i="1"/>
  <c r="I105" i="1"/>
  <c r="Q105" i="1"/>
  <c r="I106" i="1"/>
  <c r="Q106" i="1"/>
  <c r="I107" i="1"/>
  <c r="Q107" i="1"/>
  <c r="I108" i="1"/>
  <c r="Q108" i="1"/>
  <c r="I109" i="1"/>
  <c r="Q109" i="1"/>
  <c r="I110" i="1"/>
  <c r="Q110" i="1"/>
  <c r="I111" i="1"/>
  <c r="Q111" i="1"/>
  <c r="I112" i="1"/>
  <c r="Q112" i="1"/>
  <c r="I113" i="1"/>
  <c r="Q113" i="1"/>
  <c r="I114" i="1"/>
  <c r="Q114" i="1"/>
  <c r="I115" i="1"/>
  <c r="Q115" i="1"/>
  <c r="I116" i="1"/>
  <c r="Q116" i="1"/>
  <c r="I117" i="1"/>
  <c r="Q117" i="1"/>
  <c r="I118" i="1"/>
  <c r="Q118" i="1"/>
  <c r="I119" i="1"/>
  <c r="Q119" i="1"/>
  <c r="I120" i="1"/>
  <c r="Q120" i="1"/>
  <c r="I121" i="1"/>
  <c r="Q121" i="1"/>
  <c r="I122" i="1"/>
  <c r="Q122" i="1"/>
  <c r="I123" i="1"/>
  <c r="Q123" i="1"/>
  <c r="I124" i="1"/>
  <c r="Q124" i="1"/>
  <c r="I125" i="1"/>
  <c r="Q125" i="1"/>
  <c r="I126" i="1"/>
  <c r="Q126" i="1"/>
  <c r="I127" i="1"/>
  <c r="Q127" i="1"/>
  <c r="I128" i="1"/>
  <c r="Q128" i="1"/>
  <c r="I129" i="1"/>
  <c r="Q129" i="1"/>
  <c r="I130" i="1"/>
  <c r="Q130" i="1"/>
  <c r="I131" i="1"/>
  <c r="Q131" i="1"/>
  <c r="I132" i="1"/>
  <c r="Q132" i="1"/>
  <c r="I133" i="1"/>
  <c r="Q133" i="1"/>
  <c r="I134" i="1"/>
  <c r="Q134" i="1"/>
  <c r="I135" i="1"/>
  <c r="Q135" i="1"/>
  <c r="I136" i="1"/>
  <c r="Q136" i="1"/>
  <c r="I137" i="1"/>
  <c r="Q137" i="1"/>
  <c r="I138" i="1"/>
  <c r="Q138" i="1"/>
  <c r="I139" i="1"/>
  <c r="Q139" i="1"/>
  <c r="I140" i="1"/>
  <c r="Q140" i="1"/>
  <c r="I141" i="1"/>
  <c r="Q141" i="1"/>
  <c r="I142" i="1"/>
  <c r="Q142" i="1"/>
  <c r="I143" i="1"/>
  <c r="Q143" i="1"/>
  <c r="I144" i="1"/>
  <c r="Q144" i="1"/>
  <c r="I145" i="1"/>
  <c r="Q145" i="1"/>
  <c r="I146" i="1"/>
  <c r="Q146" i="1"/>
  <c r="I147" i="1"/>
  <c r="Q147" i="1"/>
  <c r="I148" i="1"/>
  <c r="Q148" i="1"/>
  <c r="I149" i="1"/>
  <c r="Q149" i="1"/>
  <c r="I150" i="1"/>
  <c r="Q150" i="1"/>
  <c r="I151" i="1"/>
  <c r="Q151" i="1"/>
  <c r="I152" i="1"/>
  <c r="Q152" i="1"/>
  <c r="I153" i="1"/>
  <c r="Q153" i="1"/>
  <c r="I154" i="1"/>
  <c r="Q154" i="1"/>
  <c r="I155" i="1"/>
  <c r="Q155" i="1"/>
  <c r="I156" i="1"/>
  <c r="Q156" i="1"/>
  <c r="I157" i="1"/>
  <c r="Q157" i="1"/>
  <c r="I158" i="1"/>
  <c r="Q158" i="1"/>
  <c r="I159" i="1"/>
  <c r="Q159" i="1"/>
  <c r="I160" i="1"/>
  <c r="Q160" i="1"/>
  <c r="I161" i="1"/>
  <c r="Q161" i="1"/>
  <c r="I162" i="1"/>
  <c r="Q162" i="1"/>
  <c r="I163" i="1"/>
  <c r="Q163" i="1"/>
  <c r="I164" i="1"/>
  <c r="Q164" i="1"/>
  <c r="I165" i="1"/>
  <c r="Q165" i="1"/>
  <c r="I166" i="1"/>
  <c r="Q166" i="1"/>
  <c r="I167" i="1"/>
  <c r="Q167" i="1"/>
  <c r="I168" i="1"/>
  <c r="Q168" i="1"/>
  <c r="I169" i="1"/>
  <c r="Q169" i="1"/>
  <c r="I170" i="1"/>
  <c r="Q170" i="1"/>
  <c r="I171" i="1"/>
  <c r="Q171" i="1"/>
  <c r="I172" i="1"/>
  <c r="Q172" i="1"/>
  <c r="I173" i="1"/>
  <c r="Q173" i="1"/>
  <c r="I174" i="1"/>
  <c r="Q174" i="1"/>
  <c r="I175" i="1"/>
  <c r="Q175" i="1"/>
  <c r="I176" i="1"/>
  <c r="Q176" i="1"/>
  <c r="I177" i="1"/>
  <c r="Q177" i="1"/>
  <c r="I178" i="1"/>
  <c r="Q178" i="1"/>
  <c r="I179" i="1"/>
  <c r="Q179" i="1"/>
  <c r="I180" i="1"/>
  <c r="Q180" i="1"/>
  <c r="I181" i="1"/>
  <c r="Q181" i="1"/>
  <c r="I182" i="1"/>
  <c r="Q182" i="1"/>
  <c r="I183" i="1"/>
  <c r="Q183" i="1"/>
  <c r="I184" i="1"/>
  <c r="Q184" i="1"/>
  <c r="I185" i="1"/>
  <c r="Q185" i="1"/>
  <c r="I186" i="1"/>
  <c r="Q186" i="1"/>
  <c r="I187" i="1"/>
  <c r="Q187" i="1"/>
  <c r="I188" i="1"/>
  <c r="Q188" i="1"/>
  <c r="I189" i="1"/>
  <c r="Q189" i="1"/>
  <c r="I190" i="1"/>
  <c r="Q190" i="1"/>
  <c r="I191" i="1"/>
  <c r="Q191" i="1"/>
  <c r="I192" i="1"/>
  <c r="Q192" i="1"/>
  <c r="I193" i="1"/>
  <c r="Q193" i="1"/>
  <c r="I194" i="1"/>
  <c r="Q194" i="1"/>
  <c r="I195" i="1"/>
  <c r="Q195" i="1"/>
  <c r="I196" i="1"/>
  <c r="Q196" i="1"/>
  <c r="I197" i="1"/>
  <c r="Q197" i="1"/>
  <c r="I198" i="1"/>
  <c r="Q198" i="1"/>
  <c r="I199" i="1"/>
  <c r="Q199" i="1"/>
  <c r="I200" i="1"/>
  <c r="Q200" i="1"/>
  <c r="I201" i="1"/>
  <c r="Q201" i="1"/>
  <c r="I202" i="1"/>
  <c r="Q202" i="1"/>
  <c r="I203" i="1"/>
  <c r="Q203" i="1"/>
  <c r="I204" i="1"/>
  <c r="Q204" i="1"/>
  <c r="I205" i="1"/>
  <c r="Q205" i="1"/>
  <c r="I206" i="1"/>
  <c r="Q206" i="1"/>
  <c r="I207" i="1"/>
  <c r="Q207" i="1"/>
  <c r="I208" i="1"/>
  <c r="Q208" i="1"/>
  <c r="I209" i="1"/>
  <c r="Q209" i="1"/>
  <c r="I210" i="1"/>
  <c r="Q210" i="1"/>
  <c r="I211" i="1"/>
  <c r="Q211" i="1"/>
  <c r="I212" i="1"/>
  <c r="Q212" i="1"/>
  <c r="I213" i="1"/>
  <c r="Q213" i="1"/>
  <c r="I214" i="1"/>
  <c r="Q214" i="1"/>
  <c r="I215" i="1"/>
  <c r="Q215" i="1"/>
  <c r="I216" i="1"/>
  <c r="Q216" i="1"/>
  <c r="I217" i="1"/>
  <c r="Q217" i="1"/>
  <c r="I218" i="1"/>
  <c r="Q218" i="1"/>
  <c r="I219" i="1"/>
  <c r="Q219" i="1"/>
  <c r="I220" i="1"/>
  <c r="Q220" i="1"/>
  <c r="I221" i="1"/>
  <c r="Q221" i="1"/>
  <c r="I222" i="1"/>
  <c r="Q222" i="1"/>
  <c r="I223" i="1"/>
  <c r="Q223" i="1"/>
  <c r="I224" i="1"/>
  <c r="Q224" i="1"/>
  <c r="I225" i="1"/>
  <c r="Q225" i="1"/>
  <c r="I226" i="1"/>
  <c r="Q226" i="1"/>
  <c r="I227" i="1"/>
  <c r="Q227" i="1"/>
  <c r="I228" i="1"/>
  <c r="Q228" i="1"/>
  <c r="I229" i="1"/>
  <c r="Q229" i="1"/>
  <c r="I230" i="1"/>
  <c r="Q230" i="1"/>
  <c r="I231" i="1"/>
  <c r="Q231" i="1"/>
  <c r="I232" i="1"/>
  <c r="Q232" i="1"/>
  <c r="I233" i="1"/>
  <c r="Q233" i="1"/>
  <c r="I234" i="1"/>
  <c r="Q234" i="1"/>
  <c r="I235" i="1"/>
  <c r="Q235" i="1"/>
  <c r="I236" i="1"/>
  <c r="Q236" i="1"/>
  <c r="I237" i="1"/>
  <c r="Q237" i="1"/>
  <c r="I238" i="1"/>
  <c r="Q238" i="1"/>
  <c r="I239" i="1"/>
  <c r="Q239" i="1"/>
  <c r="I240" i="1"/>
  <c r="Q240" i="1"/>
  <c r="I241" i="1"/>
  <c r="Q241" i="1"/>
  <c r="I242" i="1"/>
  <c r="Q242" i="1"/>
  <c r="I243" i="1"/>
  <c r="Q243" i="1"/>
  <c r="I244" i="1"/>
  <c r="Q244" i="1"/>
  <c r="I245" i="1"/>
  <c r="Q245" i="1"/>
  <c r="I246" i="1"/>
  <c r="Q246" i="1"/>
  <c r="I247" i="1"/>
  <c r="Q247" i="1"/>
  <c r="I248" i="1"/>
  <c r="Q248" i="1"/>
  <c r="I249" i="1"/>
  <c r="Q249" i="1"/>
  <c r="I250" i="1"/>
  <c r="Q250" i="1"/>
  <c r="I251" i="1"/>
  <c r="Q251" i="1"/>
  <c r="I252" i="1"/>
  <c r="Q252" i="1"/>
  <c r="I253" i="1"/>
  <c r="Q253" i="1"/>
  <c r="I254" i="1"/>
  <c r="Q254" i="1"/>
  <c r="I255" i="1"/>
  <c r="Q255" i="1"/>
  <c r="I256" i="1"/>
  <c r="Q256" i="1"/>
  <c r="I257" i="1"/>
  <c r="Q257" i="1"/>
  <c r="I258" i="1"/>
  <c r="Q258" i="1"/>
  <c r="I259" i="1"/>
  <c r="Q259" i="1"/>
  <c r="I260" i="1"/>
  <c r="Q260" i="1"/>
  <c r="I261" i="1"/>
  <c r="Q261" i="1"/>
  <c r="I262" i="1"/>
  <c r="Q262" i="1"/>
  <c r="I263" i="1"/>
  <c r="Q263" i="1"/>
  <c r="I264" i="1"/>
  <c r="Q264" i="1"/>
  <c r="I265" i="1"/>
  <c r="Q265" i="1"/>
  <c r="I266" i="1"/>
  <c r="Q266" i="1"/>
  <c r="I267" i="1"/>
  <c r="Q267" i="1"/>
  <c r="I268" i="1"/>
  <c r="Q268" i="1"/>
  <c r="I269" i="1"/>
  <c r="Q269" i="1"/>
  <c r="I270" i="1"/>
  <c r="Q270" i="1"/>
  <c r="I271" i="1"/>
  <c r="Q271" i="1"/>
  <c r="I272" i="1"/>
  <c r="Q272" i="1"/>
  <c r="I273" i="1"/>
  <c r="Q273" i="1"/>
  <c r="I274" i="1"/>
  <c r="Q274" i="1"/>
  <c r="I275" i="1"/>
  <c r="Q275" i="1"/>
  <c r="I276" i="1"/>
  <c r="Q276" i="1"/>
  <c r="I277" i="1"/>
  <c r="Q277" i="1"/>
  <c r="I278" i="1"/>
  <c r="Q278" i="1"/>
  <c r="I279" i="1"/>
  <c r="Q279" i="1"/>
  <c r="I280" i="1"/>
  <c r="Q280" i="1"/>
  <c r="I281" i="1"/>
  <c r="Q281" i="1"/>
  <c r="I282" i="1"/>
  <c r="Q282" i="1"/>
  <c r="I283" i="1"/>
  <c r="Q283" i="1"/>
  <c r="I284" i="1"/>
  <c r="Q284" i="1"/>
  <c r="I285" i="1"/>
  <c r="Q285" i="1"/>
  <c r="I286" i="1"/>
  <c r="Q286" i="1"/>
  <c r="I287" i="1"/>
  <c r="Q287" i="1"/>
  <c r="I288" i="1"/>
  <c r="Q288" i="1"/>
  <c r="I289" i="1"/>
  <c r="Q289" i="1"/>
  <c r="I290" i="1"/>
  <c r="Q290" i="1"/>
  <c r="I291" i="1"/>
  <c r="Q291" i="1"/>
  <c r="I292" i="1"/>
  <c r="Q292" i="1"/>
  <c r="I293" i="1"/>
  <c r="Q293" i="1"/>
  <c r="I294" i="1"/>
  <c r="Q294" i="1"/>
  <c r="I295" i="1"/>
  <c r="Q295" i="1"/>
  <c r="I296" i="1"/>
  <c r="Q296" i="1"/>
  <c r="I297" i="1"/>
  <c r="Q297" i="1"/>
  <c r="I298" i="1"/>
  <c r="Q298" i="1"/>
  <c r="I299" i="1"/>
  <c r="Q299" i="1"/>
  <c r="I300" i="1"/>
  <c r="Q300" i="1"/>
  <c r="I301" i="1"/>
  <c r="Q301" i="1"/>
  <c r="I302" i="1"/>
  <c r="Q302" i="1"/>
  <c r="I303" i="1"/>
  <c r="Q303" i="1"/>
  <c r="I304" i="1"/>
  <c r="Q304" i="1"/>
  <c r="I305" i="1"/>
  <c r="Q305" i="1"/>
  <c r="I306" i="1"/>
  <c r="Q306" i="1"/>
  <c r="I307" i="1"/>
  <c r="Q307" i="1"/>
  <c r="I308" i="1"/>
  <c r="Q308" i="1"/>
  <c r="I309" i="1"/>
  <c r="Q309" i="1"/>
  <c r="I310" i="1"/>
  <c r="Q310" i="1"/>
  <c r="I311" i="1"/>
  <c r="Q311" i="1"/>
  <c r="I312" i="1"/>
  <c r="Q312" i="1"/>
  <c r="I313" i="1"/>
  <c r="Q313" i="1"/>
  <c r="I314" i="1"/>
  <c r="Q314" i="1"/>
  <c r="I315" i="1"/>
  <c r="Q315" i="1"/>
  <c r="I316" i="1"/>
  <c r="Q316" i="1"/>
  <c r="I317" i="1"/>
  <c r="Q317" i="1"/>
  <c r="I318" i="1"/>
  <c r="Q318" i="1"/>
  <c r="I319" i="1"/>
  <c r="Q319" i="1"/>
  <c r="I320" i="1"/>
  <c r="Q320" i="1"/>
  <c r="I321" i="1"/>
  <c r="Q321" i="1"/>
  <c r="I322" i="1"/>
  <c r="Q322" i="1"/>
  <c r="I323" i="1"/>
  <c r="Q323" i="1"/>
  <c r="I324" i="1"/>
  <c r="Q324" i="1"/>
  <c r="I325" i="1"/>
  <c r="Q325" i="1"/>
  <c r="I326" i="1"/>
  <c r="Q326" i="1"/>
  <c r="I327" i="1"/>
  <c r="Q327" i="1"/>
  <c r="I328" i="1"/>
  <c r="Q328" i="1"/>
  <c r="I329" i="1"/>
  <c r="Q329" i="1"/>
  <c r="I330" i="1"/>
  <c r="Q330" i="1"/>
  <c r="I331" i="1"/>
  <c r="Q331" i="1"/>
  <c r="I332" i="1"/>
  <c r="Q332" i="1"/>
  <c r="I333" i="1"/>
  <c r="Q333" i="1"/>
  <c r="I334" i="1"/>
  <c r="Q334" i="1"/>
  <c r="I335" i="1"/>
  <c r="Q335" i="1"/>
  <c r="I336" i="1"/>
  <c r="Q336" i="1"/>
  <c r="I337" i="1"/>
  <c r="Q337" i="1"/>
  <c r="I338" i="1"/>
  <c r="Q338" i="1"/>
  <c r="I339" i="1"/>
  <c r="Q339" i="1"/>
  <c r="I340" i="1"/>
  <c r="Q340" i="1"/>
  <c r="I341" i="1"/>
  <c r="Q341" i="1"/>
  <c r="I342" i="1"/>
  <c r="Q342" i="1"/>
  <c r="I343" i="1"/>
  <c r="Q343" i="1"/>
  <c r="I344" i="1"/>
  <c r="Q344" i="1"/>
  <c r="I345" i="1"/>
  <c r="Q345" i="1"/>
  <c r="I346" i="1"/>
  <c r="Q346" i="1"/>
  <c r="I347" i="1"/>
  <c r="Q347" i="1"/>
  <c r="I348" i="1"/>
  <c r="Q348" i="1"/>
  <c r="I349" i="1"/>
  <c r="Q349" i="1"/>
  <c r="I350" i="1"/>
  <c r="Q350" i="1"/>
  <c r="I351" i="1"/>
  <c r="Q351" i="1"/>
  <c r="I352" i="1"/>
  <c r="Q352" i="1"/>
  <c r="I353" i="1"/>
  <c r="Q353" i="1"/>
  <c r="I354" i="1"/>
  <c r="Q354" i="1"/>
  <c r="I355" i="1"/>
  <c r="Q355" i="1"/>
  <c r="I356" i="1"/>
  <c r="Q356" i="1"/>
  <c r="I357" i="1"/>
  <c r="Q357" i="1"/>
  <c r="I358" i="1"/>
  <c r="Q358" i="1"/>
  <c r="I359" i="1"/>
  <c r="Q359" i="1"/>
  <c r="I360" i="1"/>
  <c r="Q360" i="1"/>
  <c r="I361" i="1"/>
  <c r="Q361" i="1"/>
  <c r="I362" i="1"/>
  <c r="Q362" i="1"/>
  <c r="I363" i="1"/>
  <c r="Q363" i="1"/>
  <c r="I364" i="1"/>
  <c r="Q364" i="1"/>
  <c r="I365" i="1"/>
  <c r="Q365" i="1"/>
  <c r="I366" i="1"/>
  <c r="Q366" i="1"/>
  <c r="I367" i="1"/>
  <c r="Q367" i="1"/>
  <c r="I368" i="1"/>
  <c r="Q368" i="1"/>
  <c r="I369" i="1"/>
  <c r="Q369" i="1"/>
  <c r="I370" i="1"/>
  <c r="Q370" i="1"/>
  <c r="I371" i="1"/>
  <c r="Q371" i="1"/>
  <c r="I372" i="1"/>
  <c r="Q372" i="1"/>
  <c r="I373" i="1"/>
  <c r="Q373" i="1"/>
  <c r="I374" i="1"/>
  <c r="Q374" i="1"/>
  <c r="I375" i="1"/>
  <c r="Q375" i="1"/>
  <c r="I376" i="1"/>
  <c r="Q376" i="1"/>
  <c r="I377" i="1"/>
  <c r="Q377" i="1"/>
  <c r="I378" i="1"/>
  <c r="Q378" i="1"/>
  <c r="I379" i="1"/>
  <c r="Q379" i="1"/>
  <c r="I380" i="1"/>
  <c r="Q380" i="1"/>
  <c r="I381" i="1"/>
  <c r="Q381" i="1"/>
  <c r="I382" i="1"/>
  <c r="Q382" i="1"/>
  <c r="I383" i="1"/>
  <c r="Q383" i="1"/>
  <c r="I384" i="1"/>
  <c r="Q384" i="1"/>
  <c r="I385" i="1"/>
  <c r="Q385" i="1"/>
  <c r="I386" i="1"/>
  <c r="Q386" i="1"/>
  <c r="I387" i="1"/>
  <c r="Q387" i="1"/>
  <c r="I388" i="1"/>
  <c r="Q388" i="1"/>
  <c r="I389" i="1"/>
  <c r="Q389" i="1"/>
  <c r="I390" i="1"/>
  <c r="Q390" i="1"/>
  <c r="I391" i="1"/>
  <c r="Q391" i="1"/>
  <c r="I392" i="1"/>
  <c r="Q392" i="1"/>
  <c r="I393" i="1"/>
  <c r="Q393" i="1"/>
  <c r="I394" i="1"/>
  <c r="Q394" i="1"/>
  <c r="I395" i="1"/>
  <c r="Q395" i="1"/>
  <c r="I396" i="1"/>
  <c r="Q396" i="1"/>
  <c r="I397" i="1"/>
  <c r="Q397" i="1"/>
  <c r="I398" i="1"/>
  <c r="Q398" i="1"/>
  <c r="I399" i="1"/>
  <c r="Q399" i="1"/>
  <c r="I400" i="1"/>
  <c r="Q400" i="1"/>
  <c r="I401" i="1"/>
  <c r="Q401" i="1"/>
  <c r="I402" i="1"/>
  <c r="Q402" i="1"/>
  <c r="I403" i="1"/>
  <c r="Q403" i="1"/>
  <c r="I404" i="1"/>
  <c r="Q404" i="1"/>
  <c r="I405" i="1"/>
  <c r="Q405" i="1"/>
  <c r="I406" i="1"/>
  <c r="Q406" i="1"/>
  <c r="I407" i="1"/>
  <c r="Q407" i="1"/>
  <c r="I408" i="1"/>
  <c r="Q408" i="1"/>
  <c r="I409" i="1"/>
  <c r="Q409" i="1"/>
  <c r="I410" i="1"/>
  <c r="Q410" i="1"/>
  <c r="I411" i="1"/>
  <c r="Q411" i="1"/>
  <c r="I412" i="1"/>
  <c r="Q412" i="1"/>
  <c r="I413" i="1"/>
  <c r="Q413" i="1"/>
  <c r="I414" i="1"/>
  <c r="Q414" i="1"/>
  <c r="I415" i="1"/>
  <c r="Q415" i="1"/>
  <c r="I416" i="1"/>
  <c r="Q416" i="1"/>
  <c r="I417" i="1"/>
  <c r="Q417" i="1"/>
  <c r="I418" i="1"/>
  <c r="Q418" i="1"/>
  <c r="I419" i="1"/>
  <c r="Q419" i="1"/>
  <c r="I420" i="1"/>
  <c r="Q420" i="1"/>
  <c r="I421" i="1"/>
  <c r="Q421" i="1"/>
  <c r="I422" i="1"/>
  <c r="Q422" i="1"/>
  <c r="I423" i="1"/>
  <c r="Q423" i="1"/>
  <c r="I424" i="1"/>
  <c r="Q424" i="1"/>
  <c r="I425" i="1"/>
  <c r="Q425" i="1"/>
  <c r="I426" i="1"/>
  <c r="Q426" i="1"/>
  <c r="I427" i="1"/>
  <c r="Q427" i="1"/>
  <c r="I428" i="1"/>
  <c r="Q428" i="1"/>
  <c r="I429" i="1"/>
  <c r="Q429" i="1"/>
  <c r="I430" i="1"/>
  <c r="Q430" i="1"/>
  <c r="I431" i="1"/>
  <c r="Q431" i="1"/>
  <c r="I432" i="1"/>
  <c r="Q432" i="1"/>
  <c r="I433" i="1"/>
  <c r="Q433" i="1"/>
  <c r="I434" i="1"/>
  <c r="Q434" i="1"/>
  <c r="I435" i="1"/>
  <c r="Q435" i="1"/>
  <c r="I436" i="1"/>
  <c r="Q436" i="1"/>
  <c r="I437" i="1"/>
  <c r="Q437" i="1"/>
  <c r="I438" i="1"/>
  <c r="Q438" i="1"/>
  <c r="I439" i="1"/>
  <c r="Q439" i="1"/>
  <c r="I440" i="1"/>
  <c r="Q440" i="1"/>
  <c r="I441" i="1"/>
  <c r="Q441" i="1"/>
  <c r="I442" i="1"/>
  <c r="Q442" i="1"/>
  <c r="I443" i="1"/>
  <c r="Q443" i="1"/>
  <c r="I444" i="1"/>
  <c r="Q444" i="1"/>
  <c r="I445" i="1"/>
  <c r="Q445" i="1"/>
  <c r="I446" i="1"/>
  <c r="Q446" i="1"/>
  <c r="I447" i="1"/>
  <c r="Q447" i="1"/>
  <c r="I448" i="1"/>
  <c r="Q448" i="1"/>
  <c r="I449" i="1"/>
  <c r="Q449" i="1"/>
  <c r="I450" i="1"/>
  <c r="Q450" i="1"/>
  <c r="I451" i="1"/>
  <c r="Q451" i="1"/>
  <c r="I452" i="1"/>
  <c r="Q452" i="1"/>
  <c r="I453" i="1"/>
  <c r="Q453" i="1"/>
  <c r="I454" i="1"/>
  <c r="Q454" i="1"/>
  <c r="I455" i="1"/>
  <c r="Q455" i="1"/>
  <c r="I456" i="1"/>
  <c r="Q456" i="1"/>
  <c r="I457" i="1"/>
  <c r="Q457" i="1"/>
  <c r="I458" i="1"/>
  <c r="Q458" i="1"/>
  <c r="I459" i="1"/>
  <c r="Q459" i="1"/>
  <c r="I460" i="1"/>
  <c r="Q460" i="1"/>
  <c r="I461" i="1"/>
  <c r="Q461" i="1"/>
  <c r="I462" i="1"/>
  <c r="Q462" i="1"/>
  <c r="I463" i="1"/>
  <c r="Q463" i="1"/>
  <c r="I464" i="1"/>
  <c r="Q464" i="1"/>
  <c r="I465" i="1"/>
  <c r="Q465" i="1"/>
  <c r="I466" i="1"/>
  <c r="Q466" i="1"/>
  <c r="I467" i="1"/>
  <c r="Q467" i="1"/>
  <c r="I468" i="1"/>
  <c r="Q468" i="1"/>
  <c r="I469" i="1"/>
  <c r="Q469" i="1"/>
  <c r="I470" i="1"/>
  <c r="Q470" i="1"/>
  <c r="I471" i="1"/>
  <c r="Q471" i="1"/>
  <c r="I472" i="1"/>
  <c r="Q472" i="1"/>
  <c r="I473" i="1"/>
  <c r="Q473" i="1"/>
  <c r="I474" i="1"/>
  <c r="Q474" i="1"/>
  <c r="I475" i="1"/>
  <c r="Q475" i="1"/>
  <c r="I476" i="1"/>
  <c r="Q476" i="1"/>
  <c r="I477" i="1"/>
  <c r="Q477" i="1"/>
  <c r="I478" i="1"/>
  <c r="Q478" i="1"/>
  <c r="I479" i="1"/>
  <c r="Q479" i="1"/>
  <c r="I480" i="1"/>
  <c r="Q480" i="1"/>
  <c r="I481" i="1"/>
  <c r="Q481" i="1"/>
  <c r="I482" i="1"/>
  <c r="Q482" i="1"/>
  <c r="I483" i="1"/>
  <c r="Q483" i="1"/>
  <c r="I484" i="1"/>
  <c r="Q484" i="1"/>
  <c r="I485" i="1"/>
  <c r="Q485" i="1"/>
  <c r="I486" i="1"/>
  <c r="Q486" i="1"/>
  <c r="I487" i="1"/>
  <c r="Q487" i="1"/>
  <c r="I488" i="1"/>
  <c r="Q488" i="1"/>
  <c r="I489" i="1"/>
  <c r="Q489" i="1"/>
  <c r="I490" i="1"/>
  <c r="Q490" i="1"/>
  <c r="I491" i="1"/>
  <c r="Q491" i="1"/>
  <c r="I492" i="1"/>
  <c r="Q492" i="1"/>
  <c r="I493" i="1"/>
  <c r="Q493" i="1"/>
  <c r="I494" i="1"/>
  <c r="Q494" i="1"/>
  <c r="I495" i="1"/>
  <c r="Q495" i="1"/>
  <c r="I496" i="1"/>
  <c r="Q496" i="1"/>
  <c r="I497" i="1"/>
  <c r="Q497" i="1"/>
  <c r="I498" i="1"/>
  <c r="Q498" i="1"/>
  <c r="I499" i="1"/>
  <c r="Q499" i="1"/>
  <c r="I500" i="1"/>
  <c r="Q500" i="1"/>
  <c r="I501" i="1"/>
  <c r="Q501" i="1"/>
  <c r="I502" i="1"/>
  <c r="Q502" i="1"/>
  <c r="I503" i="1"/>
  <c r="Q503" i="1"/>
  <c r="I504" i="1"/>
  <c r="Q504" i="1"/>
  <c r="I505" i="1"/>
  <c r="Q505" i="1"/>
  <c r="I506" i="1"/>
  <c r="Q506" i="1"/>
  <c r="I507" i="1"/>
  <c r="Q507" i="1"/>
  <c r="I508" i="1"/>
  <c r="Q508" i="1"/>
  <c r="I509" i="1"/>
  <c r="Q509" i="1"/>
  <c r="I510" i="1"/>
  <c r="Q510" i="1"/>
  <c r="I511" i="1"/>
  <c r="Q511" i="1"/>
  <c r="I512" i="1"/>
  <c r="Q512" i="1"/>
  <c r="I513" i="1"/>
  <c r="Q513" i="1"/>
  <c r="I514" i="1"/>
  <c r="Q514" i="1"/>
  <c r="I515" i="1"/>
  <c r="Q515" i="1"/>
  <c r="I516" i="1"/>
  <c r="Q516" i="1"/>
  <c r="I517" i="1"/>
  <c r="Q517" i="1"/>
  <c r="I518" i="1"/>
  <c r="Q518" i="1"/>
  <c r="I519" i="1"/>
  <c r="Q519" i="1"/>
  <c r="I520" i="1"/>
  <c r="Q520" i="1"/>
  <c r="I521" i="1"/>
  <c r="Q521" i="1"/>
  <c r="I522" i="1"/>
  <c r="Q522" i="1"/>
  <c r="I523" i="1"/>
  <c r="Q523" i="1"/>
  <c r="I524" i="1"/>
  <c r="Q524" i="1"/>
  <c r="I525" i="1"/>
  <c r="Q525" i="1"/>
  <c r="I526" i="1"/>
  <c r="Q526" i="1"/>
  <c r="I527" i="1"/>
  <c r="Q527" i="1"/>
  <c r="I528" i="1"/>
  <c r="Q528" i="1"/>
  <c r="I529" i="1"/>
  <c r="Q529" i="1"/>
  <c r="I530" i="1"/>
  <c r="Q530" i="1"/>
  <c r="I531" i="1"/>
  <c r="Q531" i="1"/>
  <c r="I532" i="1"/>
  <c r="Q532" i="1"/>
  <c r="I533" i="1"/>
  <c r="Q533" i="1"/>
  <c r="I534" i="1"/>
  <c r="Q534" i="1"/>
  <c r="I535" i="1"/>
  <c r="Q535" i="1"/>
  <c r="I536" i="1"/>
  <c r="Q536" i="1"/>
  <c r="I537" i="1"/>
  <c r="Q537" i="1"/>
  <c r="I538" i="1"/>
  <c r="Q538" i="1"/>
  <c r="I539" i="1"/>
  <c r="Q539" i="1"/>
  <c r="I540" i="1"/>
  <c r="Q540" i="1"/>
  <c r="I541" i="1"/>
  <c r="Q541" i="1"/>
  <c r="I542" i="1"/>
  <c r="Q542" i="1"/>
  <c r="I543" i="1"/>
  <c r="Q543" i="1"/>
  <c r="I544" i="1"/>
  <c r="Q544" i="1"/>
  <c r="I545" i="1"/>
  <c r="Q545" i="1"/>
  <c r="I546" i="1"/>
  <c r="Q546" i="1"/>
  <c r="I547" i="1"/>
  <c r="Q547" i="1"/>
  <c r="I548" i="1"/>
  <c r="Q548" i="1"/>
  <c r="I549" i="1"/>
  <c r="Q549" i="1"/>
  <c r="I550" i="1"/>
  <c r="Q550" i="1"/>
  <c r="I551" i="1"/>
  <c r="Q551" i="1"/>
  <c r="I552" i="1"/>
  <c r="Q552" i="1"/>
  <c r="I553" i="1"/>
  <c r="Q553" i="1"/>
  <c r="I554" i="1"/>
  <c r="Q554" i="1"/>
  <c r="I555" i="1"/>
  <c r="Q555" i="1"/>
  <c r="I556" i="1"/>
  <c r="Q556" i="1"/>
  <c r="I557" i="1"/>
  <c r="Q557" i="1"/>
  <c r="I558" i="1"/>
  <c r="Q558" i="1"/>
  <c r="I559" i="1"/>
  <c r="Q559" i="1"/>
  <c r="I560" i="1"/>
  <c r="Q560" i="1"/>
  <c r="I561" i="1"/>
  <c r="Q561" i="1"/>
  <c r="I562" i="1"/>
  <c r="Q562" i="1"/>
  <c r="I563" i="1"/>
  <c r="Q563" i="1"/>
  <c r="I564" i="1"/>
  <c r="Q564" i="1"/>
  <c r="I565" i="1"/>
  <c r="Q565" i="1"/>
  <c r="I566" i="1"/>
  <c r="Q566" i="1"/>
  <c r="I567" i="1"/>
  <c r="Q567" i="1"/>
  <c r="I568" i="1"/>
  <c r="Q568" i="1"/>
  <c r="I569" i="1"/>
  <c r="Q569" i="1"/>
  <c r="I570" i="1"/>
  <c r="Q570" i="1"/>
  <c r="I571" i="1"/>
  <c r="Q571" i="1"/>
  <c r="I572" i="1"/>
  <c r="Q572" i="1"/>
  <c r="I573" i="1"/>
  <c r="Q573" i="1"/>
  <c r="I574" i="1"/>
  <c r="Q574" i="1"/>
  <c r="I575" i="1"/>
  <c r="Q575" i="1"/>
  <c r="I576" i="1"/>
  <c r="Q576" i="1"/>
  <c r="I577" i="1"/>
  <c r="Q577" i="1"/>
  <c r="I578" i="1"/>
  <c r="Q578" i="1"/>
  <c r="I579" i="1"/>
  <c r="Q579" i="1"/>
  <c r="I580" i="1"/>
  <c r="Q580" i="1"/>
  <c r="I581" i="1"/>
  <c r="Q581" i="1"/>
  <c r="I582" i="1"/>
  <c r="Q582" i="1"/>
  <c r="I583" i="1"/>
  <c r="Q583" i="1"/>
  <c r="I584" i="1"/>
  <c r="Q584" i="1"/>
  <c r="I585" i="1"/>
  <c r="Q585" i="1"/>
  <c r="I586" i="1"/>
  <c r="Q586" i="1"/>
  <c r="I587" i="1"/>
  <c r="Q587" i="1"/>
  <c r="I588" i="1"/>
  <c r="Q588" i="1"/>
  <c r="I589" i="1"/>
  <c r="Q589" i="1"/>
  <c r="I590" i="1"/>
  <c r="Q590" i="1"/>
  <c r="I591" i="1"/>
  <c r="Q591" i="1"/>
  <c r="I592" i="1"/>
  <c r="Q592" i="1"/>
  <c r="I593" i="1"/>
  <c r="Q593" i="1"/>
  <c r="I594" i="1"/>
  <c r="Q594" i="1"/>
  <c r="I595" i="1"/>
  <c r="Q595" i="1"/>
  <c r="I596" i="1"/>
  <c r="Q596" i="1"/>
  <c r="I597" i="1"/>
  <c r="Q597" i="1"/>
  <c r="I598" i="1"/>
  <c r="Q598" i="1"/>
  <c r="I599" i="1"/>
  <c r="Q599" i="1"/>
  <c r="I600" i="1"/>
  <c r="Q600" i="1"/>
  <c r="I601" i="1"/>
  <c r="Q601" i="1"/>
  <c r="I602" i="1"/>
  <c r="Q602" i="1"/>
  <c r="I603" i="1"/>
  <c r="Q603" i="1"/>
  <c r="I604" i="1"/>
  <c r="Q604" i="1"/>
  <c r="I605" i="1"/>
  <c r="Q605" i="1"/>
  <c r="I606" i="1"/>
  <c r="Q606" i="1"/>
  <c r="I607" i="1"/>
  <c r="Q607" i="1"/>
  <c r="I608" i="1"/>
  <c r="Q608" i="1"/>
  <c r="I609" i="1"/>
  <c r="Q609" i="1"/>
  <c r="I610" i="1"/>
  <c r="Q610" i="1"/>
  <c r="I611" i="1"/>
  <c r="Q611" i="1"/>
  <c r="I612" i="1"/>
  <c r="Q612" i="1"/>
  <c r="I613" i="1"/>
  <c r="Q613" i="1"/>
  <c r="I614" i="1"/>
  <c r="Q614" i="1"/>
  <c r="I615" i="1"/>
  <c r="Q615" i="1"/>
  <c r="I616" i="1"/>
  <c r="Q616" i="1"/>
  <c r="I617" i="1"/>
  <c r="Q617" i="1"/>
  <c r="I618" i="1"/>
  <c r="Q618" i="1"/>
  <c r="I619" i="1"/>
  <c r="Q619" i="1"/>
  <c r="I620" i="1"/>
  <c r="Q620" i="1"/>
  <c r="I621" i="1"/>
  <c r="Q621" i="1"/>
  <c r="I622" i="1"/>
  <c r="Q622" i="1"/>
  <c r="I623" i="1"/>
  <c r="Q623" i="1"/>
  <c r="I624" i="1"/>
  <c r="Q624" i="1"/>
  <c r="I625" i="1"/>
  <c r="Q625" i="1"/>
  <c r="I626" i="1"/>
  <c r="Q626" i="1"/>
  <c r="I627" i="1"/>
  <c r="Q627" i="1"/>
  <c r="I628" i="1"/>
  <c r="Q628" i="1"/>
  <c r="I629" i="1"/>
  <c r="Q629" i="1"/>
  <c r="I630" i="1"/>
  <c r="Q630" i="1"/>
  <c r="I631" i="1"/>
  <c r="Q631" i="1"/>
  <c r="I632" i="1"/>
  <c r="Q632" i="1"/>
  <c r="I633" i="1"/>
  <c r="Q633" i="1"/>
  <c r="I634" i="1"/>
  <c r="Q634" i="1"/>
  <c r="I635" i="1"/>
  <c r="Q635" i="1"/>
  <c r="I636" i="1"/>
  <c r="Q636" i="1"/>
  <c r="I637" i="1"/>
  <c r="Q637" i="1"/>
  <c r="I638" i="1"/>
  <c r="Q638" i="1"/>
  <c r="I639" i="1"/>
  <c r="Q639" i="1"/>
  <c r="I640" i="1"/>
  <c r="Q640" i="1"/>
  <c r="I641" i="1"/>
  <c r="Q641" i="1"/>
  <c r="I642" i="1"/>
  <c r="Q642" i="1"/>
  <c r="I643" i="1"/>
  <c r="Q643" i="1"/>
  <c r="I644" i="1"/>
  <c r="Q644" i="1"/>
  <c r="I645" i="1"/>
  <c r="Q645" i="1"/>
  <c r="I646" i="1"/>
  <c r="Q646" i="1"/>
  <c r="I647" i="1"/>
  <c r="Q647" i="1"/>
  <c r="I648" i="1"/>
  <c r="Q648" i="1"/>
  <c r="I649" i="1"/>
  <c r="Q649" i="1"/>
  <c r="I650" i="1"/>
  <c r="Q650" i="1"/>
  <c r="I651" i="1"/>
  <c r="Q651" i="1"/>
  <c r="I652" i="1"/>
  <c r="Q652" i="1"/>
  <c r="I653" i="1"/>
  <c r="Q653" i="1"/>
  <c r="I654" i="1"/>
  <c r="Q654" i="1"/>
  <c r="I655" i="1"/>
  <c r="Q655" i="1"/>
  <c r="I656" i="1"/>
  <c r="Q656" i="1"/>
  <c r="I657" i="1"/>
  <c r="Q657" i="1"/>
  <c r="I658" i="1"/>
  <c r="Q658" i="1"/>
  <c r="I659" i="1"/>
  <c r="Q659" i="1"/>
  <c r="I660" i="1"/>
  <c r="Q660" i="1"/>
  <c r="I661" i="1"/>
  <c r="Q661" i="1"/>
  <c r="I662" i="1"/>
  <c r="Q662" i="1"/>
  <c r="I663" i="1"/>
  <c r="Q663" i="1"/>
  <c r="I664" i="1"/>
  <c r="Q664" i="1"/>
  <c r="I665" i="1"/>
  <c r="Q665" i="1"/>
  <c r="I666" i="1"/>
  <c r="Q666" i="1"/>
  <c r="I667" i="1"/>
  <c r="Q667" i="1"/>
  <c r="I668" i="1"/>
  <c r="Q668" i="1"/>
  <c r="I669" i="1"/>
  <c r="Q669" i="1"/>
  <c r="I670" i="1"/>
  <c r="Q670" i="1"/>
  <c r="I671" i="1"/>
  <c r="Q671" i="1"/>
  <c r="I672" i="1"/>
  <c r="Q672" i="1"/>
  <c r="I673" i="1"/>
  <c r="Q673" i="1"/>
  <c r="I674" i="1"/>
  <c r="Q674" i="1"/>
  <c r="I675" i="1"/>
  <c r="Q675" i="1"/>
  <c r="I676" i="1"/>
  <c r="Q676" i="1"/>
  <c r="I677" i="1"/>
  <c r="Q677" i="1"/>
  <c r="I678" i="1"/>
  <c r="Q678" i="1"/>
  <c r="I679" i="1"/>
  <c r="Q679" i="1"/>
  <c r="I680" i="1"/>
  <c r="Q680" i="1"/>
  <c r="I681" i="1"/>
  <c r="Q681" i="1"/>
  <c r="I682" i="1"/>
  <c r="Q682" i="1"/>
  <c r="I683" i="1"/>
  <c r="Q683" i="1"/>
  <c r="I684" i="1"/>
  <c r="Q684" i="1"/>
  <c r="I685" i="1"/>
  <c r="Q685" i="1"/>
  <c r="I686" i="1"/>
  <c r="Q686" i="1"/>
  <c r="I687" i="1"/>
  <c r="Q687" i="1"/>
  <c r="I688" i="1"/>
  <c r="Q688" i="1"/>
  <c r="I689" i="1"/>
  <c r="Q689" i="1"/>
  <c r="I690" i="1"/>
  <c r="Q690" i="1"/>
  <c r="I691" i="1"/>
  <c r="Q691" i="1"/>
  <c r="I692" i="1"/>
  <c r="Q692" i="1"/>
  <c r="I693" i="1"/>
  <c r="Q693" i="1"/>
  <c r="I694" i="1"/>
  <c r="Q694" i="1"/>
  <c r="I695" i="1"/>
  <c r="Q695" i="1"/>
  <c r="I696" i="1"/>
  <c r="Q696" i="1"/>
  <c r="I697" i="1"/>
  <c r="Q697" i="1"/>
  <c r="I698" i="1"/>
  <c r="Q698" i="1"/>
  <c r="I699" i="1"/>
  <c r="Q699" i="1"/>
  <c r="I700" i="1"/>
  <c r="Q700" i="1"/>
  <c r="I701" i="1"/>
  <c r="Q701" i="1"/>
  <c r="I702" i="1"/>
  <c r="Q702" i="1"/>
  <c r="I703" i="1"/>
  <c r="Q703" i="1"/>
  <c r="I704" i="1"/>
  <c r="Q704" i="1"/>
  <c r="I705" i="1"/>
  <c r="Q705" i="1"/>
  <c r="I706" i="1"/>
  <c r="Q706" i="1"/>
  <c r="I707" i="1"/>
  <c r="Q707" i="1"/>
  <c r="I708" i="1"/>
  <c r="Q708" i="1"/>
  <c r="I709" i="1"/>
  <c r="Q709" i="1"/>
  <c r="I710" i="1"/>
  <c r="Q710" i="1"/>
  <c r="I711" i="1"/>
  <c r="Q711" i="1"/>
  <c r="I712" i="1"/>
  <c r="Q712" i="1"/>
  <c r="I713" i="1"/>
  <c r="Q713" i="1"/>
  <c r="I714" i="1"/>
  <c r="Q714" i="1"/>
  <c r="I715" i="1"/>
  <c r="Q715" i="1"/>
  <c r="I716" i="1"/>
  <c r="Q716" i="1"/>
  <c r="I717" i="1"/>
  <c r="Q717" i="1"/>
  <c r="I718" i="1"/>
  <c r="Q718" i="1"/>
  <c r="I719" i="1"/>
  <c r="Q719" i="1"/>
  <c r="I720" i="1"/>
  <c r="Q720" i="1"/>
  <c r="I721" i="1"/>
  <c r="Q721" i="1"/>
  <c r="I722" i="1"/>
  <c r="Q722" i="1"/>
  <c r="I723" i="1"/>
  <c r="Q723" i="1"/>
  <c r="I724" i="1"/>
  <c r="Q724" i="1"/>
  <c r="I725" i="1"/>
  <c r="Q725" i="1"/>
  <c r="I726" i="1"/>
  <c r="Q726" i="1"/>
  <c r="I727" i="1"/>
  <c r="Q727" i="1"/>
  <c r="I728" i="1"/>
  <c r="Q728" i="1"/>
  <c r="I729" i="1"/>
  <c r="Q729" i="1"/>
  <c r="I730" i="1"/>
  <c r="Q730" i="1"/>
  <c r="I731" i="1"/>
  <c r="Q731" i="1"/>
  <c r="I732" i="1"/>
  <c r="Q732" i="1"/>
  <c r="I733" i="1"/>
  <c r="Q733" i="1"/>
  <c r="I734" i="1"/>
  <c r="Q734" i="1"/>
  <c r="I735" i="1"/>
  <c r="Q735" i="1"/>
  <c r="I736" i="1"/>
  <c r="Q736" i="1"/>
  <c r="I737" i="1"/>
  <c r="Q737" i="1"/>
  <c r="I738" i="1"/>
  <c r="Q738" i="1"/>
  <c r="I739" i="1"/>
  <c r="Q739" i="1"/>
  <c r="I740" i="1"/>
  <c r="Q740" i="1"/>
  <c r="I741" i="1"/>
  <c r="Q741" i="1"/>
  <c r="I742" i="1"/>
  <c r="Q742" i="1"/>
  <c r="I743" i="1"/>
  <c r="Q743" i="1"/>
  <c r="I744" i="1"/>
  <c r="Q744" i="1"/>
  <c r="I745" i="1"/>
  <c r="Q745" i="1"/>
  <c r="I746" i="1"/>
  <c r="Q746" i="1"/>
  <c r="I747" i="1"/>
  <c r="Q747" i="1"/>
  <c r="I748" i="1"/>
  <c r="Q748" i="1"/>
  <c r="I749" i="1"/>
  <c r="Q749" i="1"/>
  <c r="I750" i="1"/>
  <c r="Q750" i="1"/>
  <c r="I751" i="1"/>
  <c r="Q751" i="1"/>
  <c r="I752" i="1"/>
  <c r="Q752" i="1"/>
  <c r="I753" i="1"/>
  <c r="Q753" i="1"/>
  <c r="I3" i="1"/>
  <c r="Q3" i="1"/>
  <c r="G4" i="1"/>
  <c r="P4" i="1"/>
  <c r="G5" i="1"/>
  <c r="P5" i="1"/>
  <c r="G6" i="1"/>
  <c r="P6" i="1"/>
  <c r="G7" i="1"/>
  <c r="P7" i="1"/>
  <c r="G8" i="1"/>
  <c r="P8" i="1"/>
  <c r="G9" i="1"/>
  <c r="P9" i="1"/>
  <c r="G10" i="1"/>
  <c r="P10" i="1"/>
  <c r="G11" i="1"/>
  <c r="P11" i="1"/>
  <c r="G12" i="1"/>
  <c r="P12" i="1"/>
  <c r="G13" i="1"/>
  <c r="P13" i="1"/>
  <c r="G14" i="1"/>
  <c r="P14" i="1"/>
  <c r="G15" i="1"/>
  <c r="P15" i="1"/>
  <c r="G16" i="1"/>
  <c r="P16" i="1"/>
  <c r="G17" i="1"/>
  <c r="P17" i="1"/>
  <c r="G18" i="1"/>
  <c r="P18" i="1"/>
  <c r="G19" i="1"/>
  <c r="P19" i="1"/>
  <c r="G20" i="1"/>
  <c r="P20" i="1"/>
  <c r="G21" i="1"/>
  <c r="P21" i="1"/>
  <c r="G22" i="1"/>
  <c r="P22" i="1"/>
  <c r="G23" i="1"/>
  <c r="P23" i="1"/>
  <c r="G24" i="1"/>
  <c r="P24" i="1"/>
  <c r="G25" i="1"/>
  <c r="P25" i="1"/>
  <c r="G26" i="1"/>
  <c r="P26" i="1"/>
  <c r="G27" i="1"/>
  <c r="P27" i="1"/>
  <c r="G28" i="1"/>
  <c r="P28" i="1"/>
  <c r="G29" i="1"/>
  <c r="P29" i="1"/>
  <c r="G30" i="1"/>
  <c r="P30" i="1"/>
  <c r="G31" i="1"/>
  <c r="P31" i="1"/>
  <c r="G32" i="1"/>
  <c r="P32" i="1"/>
  <c r="G33" i="1"/>
  <c r="P33" i="1"/>
  <c r="G34" i="1"/>
  <c r="P34" i="1"/>
  <c r="G35" i="1"/>
  <c r="P35" i="1"/>
  <c r="G36" i="1"/>
  <c r="P36" i="1"/>
  <c r="G37" i="1"/>
  <c r="P37" i="1"/>
  <c r="G38" i="1"/>
  <c r="P38" i="1"/>
  <c r="G39" i="1"/>
  <c r="P39" i="1"/>
  <c r="G40" i="1"/>
  <c r="P40" i="1"/>
  <c r="G41" i="1"/>
  <c r="P41" i="1"/>
  <c r="G42" i="1"/>
  <c r="P42" i="1"/>
  <c r="G43" i="1"/>
  <c r="P43" i="1"/>
  <c r="G44" i="1"/>
  <c r="P44" i="1"/>
  <c r="G45" i="1"/>
  <c r="P45" i="1"/>
  <c r="G46" i="1"/>
  <c r="P46" i="1"/>
  <c r="G47" i="1"/>
  <c r="P47" i="1"/>
  <c r="G48" i="1"/>
  <c r="P48" i="1"/>
  <c r="G49" i="1"/>
  <c r="P49" i="1"/>
  <c r="G50" i="1"/>
  <c r="P50" i="1"/>
  <c r="G51" i="1"/>
  <c r="P51" i="1"/>
  <c r="G52" i="1"/>
  <c r="P52" i="1"/>
  <c r="G53" i="1"/>
  <c r="P53" i="1"/>
  <c r="G54" i="1"/>
  <c r="P54" i="1"/>
  <c r="G55" i="1"/>
  <c r="P55" i="1"/>
  <c r="G56" i="1"/>
  <c r="P56" i="1"/>
  <c r="G57" i="1"/>
  <c r="P57" i="1"/>
  <c r="G58" i="1"/>
  <c r="P58" i="1"/>
  <c r="G59" i="1"/>
  <c r="P59" i="1"/>
  <c r="G60" i="1"/>
  <c r="P60" i="1"/>
  <c r="G61" i="1"/>
  <c r="P61" i="1"/>
  <c r="G62" i="1"/>
  <c r="P62" i="1"/>
  <c r="G63" i="1"/>
  <c r="P63" i="1"/>
  <c r="G64" i="1"/>
  <c r="P64" i="1"/>
  <c r="G65" i="1"/>
  <c r="P65" i="1"/>
  <c r="G66" i="1"/>
  <c r="P66" i="1"/>
  <c r="G67" i="1"/>
  <c r="P67" i="1"/>
  <c r="G68" i="1"/>
  <c r="P68" i="1"/>
  <c r="G69" i="1"/>
  <c r="P69" i="1"/>
  <c r="G70" i="1"/>
  <c r="P70" i="1"/>
  <c r="G71" i="1"/>
  <c r="P71" i="1"/>
  <c r="G72" i="1"/>
  <c r="P72" i="1"/>
  <c r="G73" i="1"/>
  <c r="P73" i="1"/>
  <c r="G74" i="1"/>
  <c r="P74" i="1"/>
  <c r="G75" i="1"/>
  <c r="P75" i="1"/>
  <c r="G76" i="1"/>
  <c r="P76" i="1"/>
  <c r="G77" i="1"/>
  <c r="P77" i="1"/>
  <c r="G78" i="1"/>
  <c r="P78" i="1"/>
  <c r="G79" i="1"/>
  <c r="P79" i="1"/>
  <c r="G80" i="1"/>
  <c r="P80" i="1"/>
  <c r="G81" i="1"/>
  <c r="P81" i="1"/>
  <c r="G82" i="1"/>
  <c r="P82" i="1"/>
  <c r="G83" i="1"/>
  <c r="P83" i="1"/>
  <c r="G84" i="1"/>
  <c r="P84" i="1"/>
  <c r="G85" i="1"/>
  <c r="P85" i="1"/>
  <c r="G86" i="1"/>
  <c r="P86" i="1"/>
  <c r="G87" i="1"/>
  <c r="P87" i="1"/>
  <c r="G88" i="1"/>
  <c r="P88" i="1"/>
  <c r="G89" i="1"/>
  <c r="P89" i="1"/>
  <c r="G90" i="1"/>
  <c r="P90" i="1"/>
  <c r="G91" i="1"/>
  <c r="P91" i="1"/>
  <c r="G92" i="1"/>
  <c r="P92" i="1"/>
  <c r="G93" i="1"/>
  <c r="P93" i="1"/>
  <c r="G94" i="1"/>
  <c r="P94" i="1"/>
  <c r="G95" i="1"/>
  <c r="P95" i="1"/>
  <c r="G96" i="1"/>
  <c r="P96" i="1"/>
  <c r="G97" i="1"/>
  <c r="P97" i="1"/>
  <c r="G98" i="1"/>
  <c r="P98" i="1"/>
  <c r="G99" i="1"/>
  <c r="P99" i="1"/>
  <c r="G100" i="1"/>
  <c r="P100" i="1"/>
  <c r="G101" i="1"/>
  <c r="P101" i="1"/>
  <c r="G102" i="1"/>
  <c r="P102" i="1"/>
  <c r="G103" i="1"/>
  <c r="P103" i="1"/>
  <c r="G104" i="1"/>
  <c r="P104" i="1"/>
  <c r="G105" i="1"/>
  <c r="P105" i="1"/>
  <c r="G106" i="1"/>
  <c r="P106" i="1"/>
  <c r="G107" i="1"/>
  <c r="P107" i="1"/>
  <c r="G108" i="1"/>
  <c r="P108" i="1"/>
  <c r="G109" i="1"/>
  <c r="P109" i="1"/>
  <c r="G110" i="1"/>
  <c r="P110" i="1"/>
  <c r="G111" i="1"/>
  <c r="P111" i="1"/>
  <c r="G112" i="1"/>
  <c r="P112" i="1"/>
  <c r="G113" i="1"/>
  <c r="P113" i="1"/>
  <c r="G114" i="1"/>
  <c r="P114" i="1"/>
  <c r="G115" i="1"/>
  <c r="P115" i="1"/>
  <c r="G116" i="1"/>
  <c r="P116" i="1"/>
  <c r="G117" i="1"/>
  <c r="P117" i="1"/>
  <c r="G118" i="1"/>
  <c r="P118" i="1"/>
  <c r="G119" i="1"/>
  <c r="P119" i="1"/>
  <c r="G120" i="1"/>
  <c r="P120" i="1"/>
  <c r="G121" i="1"/>
  <c r="P121" i="1"/>
  <c r="G122" i="1"/>
  <c r="P122" i="1"/>
  <c r="G123" i="1"/>
  <c r="P123" i="1"/>
  <c r="G124" i="1"/>
  <c r="P124" i="1"/>
  <c r="G125" i="1"/>
  <c r="P125" i="1"/>
  <c r="G126" i="1"/>
  <c r="P126" i="1"/>
  <c r="G127" i="1"/>
  <c r="P127" i="1"/>
  <c r="G128" i="1"/>
  <c r="P128" i="1"/>
  <c r="G129" i="1"/>
  <c r="P129" i="1"/>
  <c r="G130" i="1"/>
  <c r="P130" i="1"/>
  <c r="G131" i="1"/>
  <c r="P131" i="1"/>
  <c r="G132" i="1"/>
  <c r="P132" i="1"/>
  <c r="G133" i="1"/>
  <c r="P133" i="1"/>
  <c r="G134" i="1"/>
  <c r="P134" i="1"/>
  <c r="G135" i="1"/>
  <c r="P135" i="1"/>
  <c r="G136" i="1"/>
  <c r="P136" i="1"/>
  <c r="G137" i="1"/>
  <c r="P137" i="1"/>
  <c r="G138" i="1"/>
  <c r="P138" i="1"/>
  <c r="G139" i="1"/>
  <c r="P139" i="1"/>
  <c r="G140" i="1"/>
  <c r="P140" i="1"/>
  <c r="G141" i="1"/>
  <c r="P141" i="1"/>
  <c r="G142" i="1"/>
  <c r="P142" i="1"/>
  <c r="G143" i="1"/>
  <c r="P143" i="1"/>
  <c r="G144" i="1"/>
  <c r="P144" i="1"/>
  <c r="G145" i="1"/>
  <c r="P145" i="1"/>
  <c r="G146" i="1"/>
  <c r="P146" i="1"/>
  <c r="G147" i="1"/>
  <c r="P147" i="1"/>
  <c r="G148" i="1"/>
  <c r="P148" i="1"/>
  <c r="G149" i="1"/>
  <c r="P149" i="1"/>
  <c r="G150" i="1"/>
  <c r="P150" i="1"/>
  <c r="G151" i="1"/>
  <c r="P151" i="1"/>
  <c r="G152" i="1"/>
  <c r="P152" i="1"/>
  <c r="G153" i="1"/>
  <c r="P153" i="1"/>
  <c r="G154" i="1"/>
  <c r="P154" i="1"/>
  <c r="G155" i="1"/>
  <c r="P155" i="1"/>
  <c r="G156" i="1"/>
  <c r="P156" i="1"/>
  <c r="G157" i="1"/>
  <c r="P157" i="1"/>
  <c r="G158" i="1"/>
  <c r="P158" i="1"/>
  <c r="G159" i="1"/>
  <c r="P159" i="1"/>
  <c r="G160" i="1"/>
  <c r="P160" i="1"/>
  <c r="G161" i="1"/>
  <c r="P161" i="1"/>
  <c r="G162" i="1"/>
  <c r="P162" i="1"/>
  <c r="G163" i="1"/>
  <c r="P163" i="1"/>
  <c r="G164" i="1"/>
  <c r="P164" i="1"/>
  <c r="G165" i="1"/>
  <c r="P165" i="1"/>
  <c r="G166" i="1"/>
  <c r="P166" i="1"/>
  <c r="G167" i="1"/>
  <c r="P167" i="1"/>
  <c r="G168" i="1"/>
  <c r="P168" i="1"/>
  <c r="G169" i="1"/>
  <c r="P169" i="1"/>
  <c r="G170" i="1"/>
  <c r="P170" i="1"/>
  <c r="G171" i="1"/>
  <c r="P171" i="1"/>
  <c r="G172" i="1"/>
  <c r="P172" i="1"/>
  <c r="G173" i="1"/>
  <c r="P173" i="1"/>
  <c r="G174" i="1"/>
  <c r="P174" i="1"/>
  <c r="G175" i="1"/>
  <c r="P175" i="1"/>
  <c r="G176" i="1"/>
  <c r="P176" i="1"/>
  <c r="G177" i="1"/>
  <c r="P177" i="1"/>
  <c r="G178" i="1"/>
  <c r="P178" i="1"/>
  <c r="G179" i="1"/>
  <c r="P179" i="1"/>
  <c r="G180" i="1"/>
  <c r="P180" i="1"/>
  <c r="G181" i="1"/>
  <c r="P181" i="1"/>
  <c r="G182" i="1"/>
  <c r="P182" i="1"/>
  <c r="G183" i="1"/>
  <c r="P183" i="1"/>
  <c r="G184" i="1"/>
  <c r="P184" i="1"/>
  <c r="G185" i="1"/>
  <c r="P185" i="1"/>
  <c r="G186" i="1"/>
  <c r="P186" i="1"/>
  <c r="G187" i="1"/>
  <c r="P187" i="1"/>
  <c r="G188" i="1"/>
  <c r="P188" i="1"/>
  <c r="G189" i="1"/>
  <c r="P189" i="1"/>
  <c r="G190" i="1"/>
  <c r="P190" i="1"/>
  <c r="G191" i="1"/>
  <c r="P191" i="1"/>
  <c r="G192" i="1"/>
  <c r="P192" i="1"/>
  <c r="G193" i="1"/>
  <c r="P193" i="1"/>
  <c r="G194" i="1"/>
  <c r="P194" i="1"/>
  <c r="G195" i="1"/>
  <c r="P195" i="1"/>
  <c r="G196" i="1"/>
  <c r="P196" i="1"/>
  <c r="G197" i="1"/>
  <c r="P197" i="1"/>
  <c r="G198" i="1"/>
  <c r="P198" i="1"/>
  <c r="G199" i="1"/>
  <c r="P199" i="1"/>
  <c r="G200" i="1"/>
  <c r="P200" i="1"/>
  <c r="G201" i="1"/>
  <c r="P201" i="1"/>
  <c r="G202" i="1"/>
  <c r="P202" i="1"/>
  <c r="G203" i="1"/>
  <c r="P203" i="1"/>
  <c r="G204" i="1"/>
  <c r="P204" i="1"/>
  <c r="G205" i="1"/>
  <c r="P205" i="1"/>
  <c r="G206" i="1"/>
  <c r="P206" i="1"/>
  <c r="G207" i="1"/>
  <c r="P207" i="1"/>
  <c r="G208" i="1"/>
  <c r="P208" i="1"/>
  <c r="G209" i="1"/>
  <c r="P209" i="1"/>
  <c r="G210" i="1"/>
  <c r="P210" i="1"/>
  <c r="G211" i="1"/>
  <c r="P211" i="1"/>
  <c r="G212" i="1"/>
  <c r="P212" i="1"/>
  <c r="G213" i="1"/>
  <c r="P213" i="1"/>
  <c r="G214" i="1"/>
  <c r="P214" i="1"/>
  <c r="G215" i="1"/>
  <c r="P215" i="1"/>
  <c r="G216" i="1"/>
  <c r="P216" i="1"/>
  <c r="G217" i="1"/>
  <c r="P217" i="1"/>
  <c r="G218" i="1"/>
  <c r="P218" i="1"/>
  <c r="G219" i="1"/>
  <c r="P219" i="1"/>
  <c r="G220" i="1"/>
  <c r="P220" i="1"/>
  <c r="G221" i="1"/>
  <c r="P221" i="1"/>
  <c r="G222" i="1"/>
  <c r="P222" i="1"/>
  <c r="G223" i="1"/>
  <c r="P223" i="1"/>
  <c r="G224" i="1"/>
  <c r="P224" i="1"/>
  <c r="G225" i="1"/>
  <c r="P225" i="1"/>
  <c r="G226" i="1"/>
  <c r="P226" i="1"/>
  <c r="G227" i="1"/>
  <c r="P227" i="1"/>
  <c r="G228" i="1"/>
  <c r="P228" i="1"/>
  <c r="G229" i="1"/>
  <c r="P229" i="1"/>
  <c r="G230" i="1"/>
  <c r="P230" i="1"/>
  <c r="G231" i="1"/>
  <c r="P231" i="1"/>
  <c r="G232" i="1"/>
  <c r="P232" i="1"/>
  <c r="G233" i="1"/>
  <c r="P233" i="1"/>
  <c r="G234" i="1"/>
  <c r="P234" i="1"/>
  <c r="G235" i="1"/>
  <c r="P235" i="1"/>
  <c r="G236" i="1"/>
  <c r="P236" i="1"/>
  <c r="G237" i="1"/>
  <c r="P237" i="1"/>
  <c r="G238" i="1"/>
  <c r="P238" i="1"/>
  <c r="G239" i="1"/>
  <c r="P239" i="1"/>
  <c r="G240" i="1"/>
  <c r="P240" i="1"/>
  <c r="G241" i="1"/>
  <c r="P241" i="1"/>
  <c r="G242" i="1"/>
  <c r="P242" i="1"/>
  <c r="G243" i="1"/>
  <c r="P243" i="1"/>
  <c r="G244" i="1"/>
  <c r="P244" i="1"/>
  <c r="G245" i="1"/>
  <c r="P245" i="1"/>
  <c r="G246" i="1"/>
  <c r="P246" i="1"/>
  <c r="G247" i="1"/>
  <c r="P247" i="1"/>
  <c r="G248" i="1"/>
  <c r="P248" i="1"/>
  <c r="G249" i="1"/>
  <c r="P249" i="1"/>
  <c r="G250" i="1"/>
  <c r="P250" i="1"/>
  <c r="G251" i="1"/>
  <c r="P251" i="1"/>
  <c r="G252" i="1"/>
  <c r="P252" i="1"/>
  <c r="G253" i="1"/>
  <c r="P253" i="1"/>
  <c r="G254" i="1"/>
  <c r="P254" i="1"/>
  <c r="G255" i="1"/>
  <c r="P255" i="1"/>
  <c r="G256" i="1"/>
  <c r="P256" i="1"/>
  <c r="G257" i="1"/>
  <c r="P257" i="1"/>
  <c r="G258" i="1"/>
  <c r="P258" i="1"/>
  <c r="G259" i="1"/>
  <c r="P259" i="1"/>
  <c r="G260" i="1"/>
  <c r="P260" i="1"/>
  <c r="G261" i="1"/>
  <c r="P261" i="1"/>
  <c r="G262" i="1"/>
  <c r="P262" i="1"/>
  <c r="G263" i="1"/>
  <c r="P263" i="1"/>
  <c r="G264" i="1"/>
  <c r="P264" i="1"/>
  <c r="G265" i="1"/>
  <c r="P265" i="1"/>
  <c r="G266" i="1"/>
  <c r="P266" i="1"/>
  <c r="G267" i="1"/>
  <c r="P267" i="1"/>
  <c r="G268" i="1"/>
  <c r="P268" i="1"/>
  <c r="G269" i="1"/>
  <c r="P269" i="1"/>
  <c r="G270" i="1"/>
  <c r="P270" i="1"/>
  <c r="G271" i="1"/>
  <c r="P271" i="1"/>
  <c r="G272" i="1"/>
  <c r="P272" i="1"/>
  <c r="G273" i="1"/>
  <c r="P273" i="1"/>
  <c r="G274" i="1"/>
  <c r="P274" i="1"/>
  <c r="G275" i="1"/>
  <c r="P275" i="1"/>
  <c r="G276" i="1"/>
  <c r="P276" i="1"/>
  <c r="G277" i="1"/>
  <c r="P277" i="1"/>
  <c r="G278" i="1"/>
  <c r="P278" i="1"/>
  <c r="G279" i="1"/>
  <c r="P279" i="1"/>
  <c r="G280" i="1"/>
  <c r="P280" i="1"/>
  <c r="G281" i="1"/>
  <c r="P281" i="1"/>
  <c r="G282" i="1"/>
  <c r="P282" i="1"/>
  <c r="G283" i="1"/>
  <c r="P283" i="1"/>
  <c r="G284" i="1"/>
  <c r="P284" i="1"/>
  <c r="G285" i="1"/>
  <c r="P285" i="1"/>
  <c r="G286" i="1"/>
  <c r="P286" i="1"/>
  <c r="G287" i="1"/>
  <c r="P287" i="1"/>
  <c r="G288" i="1"/>
  <c r="P288" i="1"/>
  <c r="G289" i="1"/>
  <c r="P289" i="1"/>
  <c r="G290" i="1"/>
  <c r="P290" i="1"/>
  <c r="G291" i="1"/>
  <c r="P291" i="1"/>
  <c r="G292" i="1"/>
  <c r="P292" i="1"/>
  <c r="G293" i="1"/>
  <c r="P293" i="1"/>
  <c r="G294" i="1"/>
  <c r="P294" i="1"/>
  <c r="G295" i="1"/>
  <c r="P295" i="1"/>
  <c r="G296" i="1"/>
  <c r="P296" i="1"/>
  <c r="G297" i="1"/>
  <c r="P297" i="1"/>
  <c r="G298" i="1"/>
  <c r="P298" i="1"/>
  <c r="G299" i="1"/>
  <c r="P299" i="1"/>
  <c r="G300" i="1"/>
  <c r="P300" i="1"/>
  <c r="G301" i="1"/>
  <c r="P301" i="1"/>
  <c r="G302" i="1"/>
  <c r="P302" i="1"/>
  <c r="G303" i="1"/>
  <c r="P303" i="1"/>
  <c r="G304" i="1"/>
  <c r="P304" i="1"/>
  <c r="G305" i="1"/>
  <c r="P305" i="1"/>
  <c r="G306" i="1"/>
  <c r="P306" i="1"/>
  <c r="G307" i="1"/>
  <c r="P307" i="1"/>
  <c r="G308" i="1"/>
  <c r="P308" i="1"/>
  <c r="G309" i="1"/>
  <c r="P309" i="1"/>
  <c r="G310" i="1"/>
  <c r="P310" i="1"/>
  <c r="G311" i="1"/>
  <c r="P311" i="1"/>
  <c r="G312" i="1"/>
  <c r="P312" i="1"/>
  <c r="G313" i="1"/>
  <c r="P313" i="1"/>
  <c r="G314" i="1"/>
  <c r="P314" i="1"/>
  <c r="G315" i="1"/>
  <c r="P315" i="1"/>
  <c r="G316" i="1"/>
  <c r="P316" i="1"/>
  <c r="G317" i="1"/>
  <c r="P317" i="1"/>
  <c r="G318" i="1"/>
  <c r="P318" i="1"/>
  <c r="G319" i="1"/>
  <c r="P319" i="1"/>
  <c r="G320" i="1"/>
  <c r="P320" i="1"/>
  <c r="G321" i="1"/>
  <c r="P321" i="1"/>
  <c r="G322" i="1"/>
  <c r="P322" i="1"/>
  <c r="G323" i="1"/>
  <c r="P323" i="1"/>
  <c r="G324" i="1"/>
  <c r="P324" i="1"/>
  <c r="G325" i="1"/>
  <c r="P325" i="1"/>
  <c r="G326" i="1"/>
  <c r="P326" i="1"/>
  <c r="G327" i="1"/>
  <c r="P327" i="1"/>
  <c r="G328" i="1"/>
  <c r="P328" i="1"/>
  <c r="G329" i="1"/>
  <c r="P329" i="1"/>
  <c r="G330" i="1"/>
  <c r="P330" i="1"/>
  <c r="G331" i="1"/>
  <c r="P331" i="1"/>
  <c r="G332" i="1"/>
  <c r="P332" i="1"/>
  <c r="G333" i="1"/>
  <c r="P333" i="1"/>
  <c r="G334" i="1"/>
  <c r="P334" i="1"/>
  <c r="G335" i="1"/>
  <c r="P335" i="1"/>
  <c r="G336" i="1"/>
  <c r="P336" i="1"/>
  <c r="G337" i="1"/>
  <c r="P337" i="1"/>
  <c r="G338" i="1"/>
  <c r="P338" i="1"/>
  <c r="G339" i="1"/>
  <c r="P339" i="1"/>
  <c r="G340" i="1"/>
  <c r="P340" i="1"/>
  <c r="G341" i="1"/>
  <c r="P341" i="1"/>
  <c r="G342" i="1"/>
  <c r="P342" i="1"/>
  <c r="G343" i="1"/>
  <c r="P343" i="1"/>
  <c r="G344" i="1"/>
  <c r="P344" i="1"/>
  <c r="G345" i="1"/>
  <c r="P345" i="1"/>
  <c r="G346" i="1"/>
  <c r="P346" i="1"/>
  <c r="G347" i="1"/>
  <c r="P347" i="1"/>
  <c r="G348" i="1"/>
  <c r="P348" i="1"/>
  <c r="G349" i="1"/>
  <c r="P349" i="1"/>
  <c r="G350" i="1"/>
  <c r="P350" i="1"/>
  <c r="G351" i="1"/>
  <c r="P351" i="1"/>
  <c r="G352" i="1"/>
  <c r="P352" i="1"/>
  <c r="G353" i="1"/>
  <c r="P353" i="1"/>
  <c r="G354" i="1"/>
  <c r="P354" i="1"/>
  <c r="G355" i="1"/>
  <c r="P355" i="1"/>
  <c r="G356" i="1"/>
  <c r="P356" i="1"/>
  <c r="G357" i="1"/>
  <c r="P357" i="1"/>
  <c r="G358" i="1"/>
  <c r="P358" i="1"/>
  <c r="G359" i="1"/>
  <c r="P359" i="1"/>
  <c r="G360" i="1"/>
  <c r="P360" i="1"/>
  <c r="G361" i="1"/>
  <c r="P361" i="1"/>
  <c r="G362" i="1"/>
  <c r="P362" i="1"/>
  <c r="G363" i="1"/>
  <c r="P363" i="1"/>
  <c r="G364" i="1"/>
  <c r="P364" i="1"/>
  <c r="G365" i="1"/>
  <c r="P365" i="1"/>
  <c r="G366" i="1"/>
  <c r="P366" i="1"/>
  <c r="G367" i="1"/>
  <c r="P367" i="1"/>
  <c r="G368" i="1"/>
  <c r="P368" i="1"/>
  <c r="G369" i="1"/>
  <c r="P369" i="1"/>
  <c r="G370" i="1"/>
  <c r="P370" i="1"/>
  <c r="G371" i="1"/>
  <c r="P371" i="1"/>
  <c r="G372" i="1"/>
  <c r="P372" i="1"/>
  <c r="G373" i="1"/>
  <c r="P373" i="1"/>
  <c r="G374" i="1"/>
  <c r="P374" i="1"/>
  <c r="G375" i="1"/>
  <c r="P375" i="1"/>
  <c r="G376" i="1"/>
  <c r="P376" i="1"/>
  <c r="G377" i="1"/>
  <c r="P377" i="1"/>
  <c r="G378" i="1"/>
  <c r="P378" i="1"/>
  <c r="G379" i="1"/>
  <c r="P379" i="1"/>
  <c r="G380" i="1"/>
  <c r="P380" i="1"/>
  <c r="G381" i="1"/>
  <c r="P381" i="1"/>
  <c r="G382" i="1"/>
  <c r="P382" i="1"/>
  <c r="G383" i="1"/>
  <c r="P383" i="1"/>
  <c r="G384" i="1"/>
  <c r="P384" i="1"/>
  <c r="G385" i="1"/>
  <c r="P385" i="1"/>
  <c r="G386" i="1"/>
  <c r="P386" i="1"/>
  <c r="G387" i="1"/>
  <c r="P387" i="1"/>
  <c r="G388" i="1"/>
  <c r="P388" i="1"/>
  <c r="G389" i="1"/>
  <c r="P389" i="1"/>
  <c r="G390" i="1"/>
  <c r="P390" i="1"/>
  <c r="G391" i="1"/>
  <c r="P391" i="1"/>
  <c r="G392" i="1"/>
  <c r="P392" i="1"/>
  <c r="G393" i="1"/>
  <c r="P393" i="1"/>
  <c r="G394" i="1"/>
  <c r="P394" i="1"/>
  <c r="G395" i="1"/>
  <c r="P395" i="1"/>
  <c r="G396" i="1"/>
  <c r="P396" i="1"/>
  <c r="G397" i="1"/>
  <c r="P397" i="1"/>
  <c r="G398" i="1"/>
  <c r="P398" i="1"/>
  <c r="G399" i="1"/>
  <c r="P399" i="1"/>
  <c r="G400" i="1"/>
  <c r="P400" i="1"/>
  <c r="G401" i="1"/>
  <c r="P401" i="1"/>
  <c r="G402" i="1"/>
  <c r="P402" i="1"/>
  <c r="G403" i="1"/>
  <c r="P403" i="1"/>
  <c r="G404" i="1"/>
  <c r="P404" i="1"/>
  <c r="G405" i="1"/>
  <c r="P405" i="1"/>
  <c r="G406" i="1"/>
  <c r="P406" i="1"/>
  <c r="G407" i="1"/>
  <c r="P407" i="1"/>
  <c r="G408" i="1"/>
  <c r="P408" i="1"/>
  <c r="G409" i="1"/>
  <c r="P409" i="1"/>
  <c r="G410" i="1"/>
  <c r="P410" i="1"/>
  <c r="G411" i="1"/>
  <c r="P411" i="1"/>
  <c r="G412" i="1"/>
  <c r="P412" i="1"/>
  <c r="G413" i="1"/>
  <c r="P413" i="1"/>
  <c r="G414" i="1"/>
  <c r="P414" i="1"/>
  <c r="G415" i="1"/>
  <c r="P415" i="1"/>
  <c r="G416" i="1"/>
  <c r="P416" i="1"/>
  <c r="G417" i="1"/>
  <c r="P417" i="1"/>
  <c r="G418" i="1"/>
  <c r="P418" i="1"/>
  <c r="G419" i="1"/>
  <c r="P419" i="1"/>
  <c r="G420" i="1"/>
  <c r="P420" i="1"/>
  <c r="G421" i="1"/>
  <c r="P421" i="1"/>
  <c r="G422" i="1"/>
  <c r="P422" i="1"/>
  <c r="G423" i="1"/>
  <c r="P423" i="1"/>
  <c r="G424" i="1"/>
  <c r="P424" i="1"/>
  <c r="G425" i="1"/>
  <c r="P425" i="1"/>
  <c r="G426" i="1"/>
  <c r="P426" i="1"/>
  <c r="G427" i="1"/>
  <c r="P427" i="1"/>
  <c r="G428" i="1"/>
  <c r="P428" i="1"/>
  <c r="G429" i="1"/>
  <c r="P429" i="1"/>
  <c r="G430" i="1"/>
  <c r="P430" i="1"/>
  <c r="G431" i="1"/>
  <c r="P431" i="1"/>
  <c r="G432" i="1"/>
  <c r="P432" i="1"/>
  <c r="G433" i="1"/>
  <c r="P433" i="1"/>
  <c r="G434" i="1"/>
  <c r="P434" i="1"/>
  <c r="G435" i="1"/>
  <c r="P435" i="1"/>
  <c r="G436" i="1"/>
  <c r="P436" i="1"/>
  <c r="G437" i="1"/>
  <c r="P437" i="1"/>
  <c r="G438" i="1"/>
  <c r="P438" i="1"/>
  <c r="G439" i="1"/>
  <c r="P439" i="1"/>
  <c r="G440" i="1"/>
  <c r="P440" i="1"/>
  <c r="G441" i="1"/>
  <c r="P441" i="1"/>
  <c r="G442" i="1"/>
  <c r="P442" i="1"/>
  <c r="G443" i="1"/>
  <c r="P443" i="1"/>
  <c r="G444" i="1"/>
  <c r="P444" i="1"/>
  <c r="G445" i="1"/>
  <c r="P445" i="1"/>
  <c r="G446" i="1"/>
  <c r="P446" i="1"/>
  <c r="G447" i="1"/>
  <c r="P447" i="1"/>
  <c r="G448" i="1"/>
  <c r="P448" i="1"/>
  <c r="G449" i="1"/>
  <c r="P449" i="1"/>
  <c r="G450" i="1"/>
  <c r="P450" i="1"/>
  <c r="G451" i="1"/>
  <c r="P451" i="1"/>
  <c r="G452" i="1"/>
  <c r="P452" i="1"/>
  <c r="G453" i="1"/>
  <c r="P453" i="1"/>
  <c r="G454" i="1"/>
  <c r="P454" i="1"/>
  <c r="G455" i="1"/>
  <c r="P455" i="1"/>
  <c r="G456" i="1"/>
  <c r="P456" i="1"/>
  <c r="G457" i="1"/>
  <c r="P457" i="1"/>
  <c r="G458" i="1"/>
  <c r="P458" i="1"/>
  <c r="G459" i="1"/>
  <c r="P459" i="1"/>
  <c r="G460" i="1"/>
  <c r="P460" i="1"/>
  <c r="G461" i="1"/>
  <c r="P461" i="1"/>
  <c r="G462" i="1"/>
  <c r="P462" i="1"/>
  <c r="G463" i="1"/>
  <c r="P463" i="1"/>
  <c r="G464" i="1"/>
  <c r="P464" i="1"/>
  <c r="G465" i="1"/>
  <c r="P465" i="1"/>
  <c r="G466" i="1"/>
  <c r="P466" i="1"/>
  <c r="G467" i="1"/>
  <c r="P467" i="1"/>
  <c r="G468" i="1"/>
  <c r="P468" i="1"/>
  <c r="G469" i="1"/>
  <c r="P469" i="1"/>
  <c r="G470" i="1"/>
  <c r="P470" i="1"/>
  <c r="G471" i="1"/>
  <c r="P471" i="1"/>
  <c r="G472" i="1"/>
  <c r="P472" i="1"/>
  <c r="G473" i="1"/>
  <c r="P473" i="1"/>
  <c r="G474" i="1"/>
  <c r="P474" i="1"/>
  <c r="G475" i="1"/>
  <c r="P475" i="1"/>
  <c r="G476" i="1"/>
  <c r="P476" i="1"/>
  <c r="G477" i="1"/>
  <c r="P477" i="1"/>
  <c r="G478" i="1"/>
  <c r="P478" i="1"/>
  <c r="G479" i="1"/>
  <c r="P479" i="1"/>
  <c r="G480" i="1"/>
  <c r="P480" i="1"/>
  <c r="G481" i="1"/>
  <c r="P481" i="1"/>
  <c r="G482" i="1"/>
  <c r="P482" i="1"/>
  <c r="G483" i="1"/>
  <c r="P483" i="1"/>
  <c r="G484" i="1"/>
  <c r="P484" i="1"/>
  <c r="G485" i="1"/>
  <c r="P485" i="1"/>
  <c r="G486" i="1"/>
  <c r="P486" i="1"/>
  <c r="G487" i="1"/>
  <c r="P487" i="1"/>
  <c r="G488" i="1"/>
  <c r="P488" i="1"/>
  <c r="G489" i="1"/>
  <c r="P489" i="1"/>
  <c r="G490" i="1"/>
  <c r="P490" i="1"/>
  <c r="G491" i="1"/>
  <c r="P491" i="1"/>
  <c r="G492" i="1"/>
  <c r="P492" i="1"/>
  <c r="G493" i="1"/>
  <c r="P493" i="1"/>
  <c r="G494" i="1"/>
  <c r="P494" i="1"/>
  <c r="G495" i="1"/>
  <c r="P495" i="1"/>
  <c r="G496" i="1"/>
  <c r="P496" i="1"/>
  <c r="G497" i="1"/>
  <c r="P497" i="1"/>
  <c r="G498" i="1"/>
  <c r="P498" i="1"/>
  <c r="G499" i="1"/>
  <c r="P499" i="1"/>
  <c r="G500" i="1"/>
  <c r="P500" i="1"/>
  <c r="G501" i="1"/>
  <c r="P501" i="1"/>
  <c r="G502" i="1"/>
  <c r="P502" i="1"/>
  <c r="G503" i="1"/>
  <c r="P503" i="1"/>
  <c r="G504" i="1"/>
  <c r="P504" i="1"/>
  <c r="G505" i="1"/>
  <c r="P505" i="1"/>
  <c r="G506" i="1"/>
  <c r="P506" i="1"/>
  <c r="G507" i="1"/>
  <c r="P507" i="1"/>
  <c r="G508" i="1"/>
  <c r="P508" i="1"/>
  <c r="G509" i="1"/>
  <c r="P509" i="1"/>
  <c r="G510" i="1"/>
  <c r="P510" i="1"/>
  <c r="G511" i="1"/>
  <c r="P511" i="1"/>
  <c r="G512" i="1"/>
  <c r="P512" i="1"/>
  <c r="G513" i="1"/>
  <c r="P513" i="1"/>
  <c r="G514" i="1"/>
  <c r="P514" i="1"/>
  <c r="G515" i="1"/>
  <c r="P515" i="1"/>
  <c r="G516" i="1"/>
  <c r="P516" i="1"/>
  <c r="G517" i="1"/>
  <c r="P517" i="1"/>
  <c r="G518" i="1"/>
  <c r="P518" i="1"/>
  <c r="G519" i="1"/>
  <c r="P519" i="1"/>
  <c r="G520" i="1"/>
  <c r="P520" i="1"/>
  <c r="G521" i="1"/>
  <c r="P521" i="1"/>
  <c r="G522" i="1"/>
  <c r="P522" i="1"/>
  <c r="G523" i="1"/>
  <c r="P523" i="1"/>
  <c r="G524" i="1"/>
  <c r="P524" i="1"/>
  <c r="G525" i="1"/>
  <c r="P525" i="1"/>
  <c r="G526" i="1"/>
  <c r="P526" i="1"/>
  <c r="G527" i="1"/>
  <c r="P527" i="1"/>
  <c r="G528" i="1"/>
  <c r="P528" i="1"/>
  <c r="G529" i="1"/>
  <c r="P529" i="1"/>
  <c r="G530" i="1"/>
  <c r="P530" i="1"/>
  <c r="G531" i="1"/>
  <c r="P531" i="1"/>
  <c r="G532" i="1"/>
  <c r="P532" i="1"/>
  <c r="G533" i="1"/>
  <c r="P533" i="1"/>
  <c r="G534" i="1"/>
  <c r="P534" i="1"/>
  <c r="G535" i="1"/>
  <c r="P535" i="1"/>
  <c r="G536" i="1"/>
  <c r="P536" i="1"/>
  <c r="G537" i="1"/>
  <c r="P537" i="1"/>
  <c r="G538" i="1"/>
  <c r="P538" i="1"/>
  <c r="G539" i="1"/>
  <c r="P539" i="1"/>
  <c r="G540" i="1"/>
  <c r="P540" i="1"/>
  <c r="G541" i="1"/>
  <c r="P541" i="1"/>
  <c r="G542" i="1"/>
  <c r="P542" i="1"/>
  <c r="G543" i="1"/>
  <c r="P543" i="1"/>
  <c r="G544" i="1"/>
  <c r="P544" i="1"/>
  <c r="G545" i="1"/>
  <c r="P545" i="1"/>
  <c r="G546" i="1"/>
  <c r="P546" i="1"/>
  <c r="G547" i="1"/>
  <c r="P547" i="1"/>
  <c r="G548" i="1"/>
  <c r="P548" i="1"/>
  <c r="G549" i="1"/>
  <c r="P549" i="1"/>
  <c r="G550" i="1"/>
  <c r="P550" i="1"/>
  <c r="G551" i="1"/>
  <c r="P551" i="1"/>
  <c r="G552" i="1"/>
  <c r="P552" i="1"/>
  <c r="G553" i="1"/>
  <c r="P553" i="1"/>
  <c r="G554" i="1"/>
  <c r="P554" i="1"/>
  <c r="G555" i="1"/>
  <c r="P555" i="1"/>
  <c r="G556" i="1"/>
  <c r="P556" i="1"/>
  <c r="G557" i="1"/>
  <c r="P557" i="1"/>
  <c r="G558" i="1"/>
  <c r="P558" i="1"/>
  <c r="G559" i="1"/>
  <c r="P559" i="1"/>
  <c r="G560" i="1"/>
  <c r="P560" i="1"/>
  <c r="G561" i="1"/>
  <c r="P561" i="1"/>
  <c r="G562" i="1"/>
  <c r="P562" i="1"/>
  <c r="G563" i="1"/>
  <c r="P563" i="1"/>
  <c r="G564" i="1"/>
  <c r="P564" i="1"/>
  <c r="G565" i="1"/>
  <c r="P565" i="1"/>
  <c r="G566" i="1"/>
  <c r="P566" i="1"/>
  <c r="G567" i="1"/>
  <c r="P567" i="1"/>
  <c r="G568" i="1"/>
  <c r="P568" i="1"/>
  <c r="G569" i="1"/>
  <c r="P569" i="1"/>
  <c r="G570" i="1"/>
  <c r="P570" i="1"/>
  <c r="G571" i="1"/>
  <c r="P571" i="1"/>
  <c r="G572" i="1"/>
  <c r="P572" i="1"/>
  <c r="G573" i="1"/>
  <c r="P573" i="1"/>
  <c r="G574" i="1"/>
  <c r="P574" i="1"/>
  <c r="G575" i="1"/>
  <c r="P575" i="1"/>
  <c r="G576" i="1"/>
  <c r="P576" i="1"/>
  <c r="G577" i="1"/>
  <c r="P577" i="1"/>
  <c r="G578" i="1"/>
  <c r="P578" i="1"/>
  <c r="G579" i="1"/>
  <c r="P579" i="1"/>
  <c r="G580" i="1"/>
  <c r="P580" i="1"/>
  <c r="G581" i="1"/>
  <c r="P581" i="1"/>
  <c r="G582" i="1"/>
  <c r="P582" i="1"/>
  <c r="G583" i="1"/>
  <c r="P583" i="1"/>
  <c r="G584" i="1"/>
  <c r="P584" i="1"/>
  <c r="G585" i="1"/>
  <c r="P585" i="1"/>
  <c r="G586" i="1"/>
  <c r="P586" i="1"/>
  <c r="G587" i="1"/>
  <c r="P587" i="1"/>
  <c r="G588" i="1"/>
  <c r="P588" i="1"/>
  <c r="G589" i="1"/>
  <c r="P589" i="1"/>
  <c r="G590" i="1"/>
  <c r="P590" i="1"/>
  <c r="G591" i="1"/>
  <c r="P591" i="1"/>
  <c r="G592" i="1"/>
  <c r="P592" i="1"/>
  <c r="G593" i="1"/>
  <c r="P593" i="1"/>
  <c r="G594" i="1"/>
  <c r="P594" i="1"/>
  <c r="G595" i="1"/>
  <c r="P595" i="1"/>
  <c r="G596" i="1"/>
  <c r="P596" i="1"/>
  <c r="G597" i="1"/>
  <c r="P597" i="1"/>
  <c r="G598" i="1"/>
  <c r="P598" i="1"/>
  <c r="G599" i="1"/>
  <c r="P599" i="1"/>
  <c r="G600" i="1"/>
  <c r="P600" i="1"/>
  <c r="G601" i="1"/>
  <c r="P601" i="1"/>
  <c r="G602" i="1"/>
  <c r="P602" i="1"/>
  <c r="G603" i="1"/>
  <c r="P603" i="1"/>
  <c r="G604" i="1"/>
  <c r="P604" i="1"/>
  <c r="G605" i="1"/>
  <c r="P605" i="1"/>
  <c r="G606" i="1"/>
  <c r="P606" i="1"/>
  <c r="G607" i="1"/>
  <c r="P607" i="1"/>
  <c r="G608" i="1"/>
  <c r="P608" i="1"/>
  <c r="G609" i="1"/>
  <c r="P609" i="1"/>
  <c r="G610" i="1"/>
  <c r="P610" i="1"/>
  <c r="G611" i="1"/>
  <c r="P611" i="1"/>
  <c r="G612" i="1"/>
  <c r="P612" i="1"/>
  <c r="G613" i="1"/>
  <c r="P613" i="1"/>
  <c r="G614" i="1"/>
  <c r="P614" i="1"/>
  <c r="G615" i="1"/>
  <c r="P615" i="1"/>
  <c r="G616" i="1"/>
  <c r="P616" i="1"/>
  <c r="G617" i="1"/>
  <c r="P617" i="1"/>
  <c r="G618" i="1"/>
  <c r="P618" i="1"/>
  <c r="G619" i="1"/>
  <c r="P619" i="1"/>
  <c r="G620" i="1"/>
  <c r="P620" i="1"/>
  <c r="G621" i="1"/>
  <c r="P621" i="1"/>
  <c r="G622" i="1"/>
  <c r="P622" i="1"/>
  <c r="G623" i="1"/>
  <c r="P623" i="1"/>
  <c r="G624" i="1"/>
  <c r="P624" i="1"/>
  <c r="G625" i="1"/>
  <c r="P625" i="1"/>
  <c r="G626" i="1"/>
  <c r="P626" i="1"/>
  <c r="G627" i="1"/>
  <c r="P627" i="1"/>
  <c r="G628" i="1"/>
  <c r="P628" i="1"/>
  <c r="G629" i="1"/>
  <c r="P629" i="1"/>
  <c r="G630" i="1"/>
  <c r="P630" i="1"/>
  <c r="G631" i="1"/>
  <c r="P631" i="1"/>
  <c r="G632" i="1"/>
  <c r="P632" i="1"/>
  <c r="G633" i="1"/>
  <c r="P633" i="1"/>
  <c r="G634" i="1"/>
  <c r="P634" i="1"/>
  <c r="G635" i="1"/>
  <c r="P635" i="1"/>
  <c r="G636" i="1"/>
  <c r="P636" i="1"/>
  <c r="G637" i="1"/>
  <c r="P637" i="1"/>
  <c r="G638" i="1"/>
  <c r="P638" i="1"/>
  <c r="G639" i="1"/>
  <c r="P639" i="1"/>
  <c r="G640" i="1"/>
  <c r="P640" i="1"/>
  <c r="G641" i="1"/>
  <c r="P641" i="1"/>
  <c r="G642" i="1"/>
  <c r="P642" i="1"/>
  <c r="G643" i="1"/>
  <c r="P643" i="1"/>
  <c r="G644" i="1"/>
  <c r="P644" i="1"/>
  <c r="G645" i="1"/>
  <c r="P645" i="1"/>
  <c r="G646" i="1"/>
  <c r="P646" i="1"/>
  <c r="G647" i="1"/>
  <c r="P647" i="1"/>
  <c r="G648" i="1"/>
  <c r="P648" i="1"/>
  <c r="G649" i="1"/>
  <c r="P649" i="1"/>
  <c r="G650" i="1"/>
  <c r="P650" i="1"/>
  <c r="G651" i="1"/>
  <c r="P651" i="1"/>
  <c r="G652" i="1"/>
  <c r="P652" i="1"/>
  <c r="G653" i="1"/>
  <c r="P653" i="1"/>
  <c r="G654" i="1"/>
  <c r="P654" i="1"/>
  <c r="G655" i="1"/>
  <c r="P655" i="1"/>
  <c r="G656" i="1"/>
  <c r="P656" i="1"/>
  <c r="G657" i="1"/>
  <c r="P657" i="1"/>
  <c r="G658" i="1"/>
  <c r="P658" i="1"/>
  <c r="G659" i="1"/>
  <c r="P659" i="1"/>
  <c r="G660" i="1"/>
  <c r="P660" i="1"/>
  <c r="G661" i="1"/>
  <c r="P661" i="1"/>
  <c r="G662" i="1"/>
  <c r="P662" i="1"/>
  <c r="G663" i="1"/>
  <c r="P663" i="1"/>
  <c r="G664" i="1"/>
  <c r="P664" i="1"/>
  <c r="G665" i="1"/>
  <c r="P665" i="1"/>
  <c r="G666" i="1"/>
  <c r="P666" i="1"/>
  <c r="G667" i="1"/>
  <c r="P667" i="1"/>
  <c r="G668" i="1"/>
  <c r="P668" i="1"/>
  <c r="G669" i="1"/>
  <c r="P669" i="1"/>
  <c r="G670" i="1"/>
  <c r="P670" i="1"/>
  <c r="G671" i="1"/>
  <c r="P671" i="1"/>
  <c r="G672" i="1"/>
  <c r="P672" i="1"/>
  <c r="G673" i="1"/>
  <c r="P673" i="1"/>
  <c r="G674" i="1"/>
  <c r="P674" i="1"/>
  <c r="G675" i="1"/>
  <c r="P675" i="1"/>
  <c r="G676" i="1"/>
  <c r="P676" i="1"/>
  <c r="G677" i="1"/>
  <c r="P677" i="1"/>
  <c r="G678" i="1"/>
  <c r="P678" i="1"/>
  <c r="G679" i="1"/>
  <c r="P679" i="1"/>
  <c r="G680" i="1"/>
  <c r="P680" i="1"/>
  <c r="G681" i="1"/>
  <c r="P681" i="1"/>
  <c r="G682" i="1"/>
  <c r="P682" i="1"/>
  <c r="G683" i="1"/>
  <c r="P683" i="1"/>
  <c r="G684" i="1"/>
  <c r="P684" i="1"/>
  <c r="G685" i="1"/>
  <c r="P685" i="1"/>
  <c r="G686" i="1"/>
  <c r="P686" i="1"/>
  <c r="G687" i="1"/>
  <c r="P687" i="1"/>
  <c r="G688" i="1"/>
  <c r="P688" i="1"/>
  <c r="G689" i="1"/>
  <c r="P689" i="1"/>
  <c r="G690" i="1"/>
  <c r="P690" i="1"/>
  <c r="G691" i="1"/>
  <c r="P691" i="1"/>
  <c r="G692" i="1"/>
  <c r="P692" i="1"/>
  <c r="G693" i="1"/>
  <c r="P693" i="1"/>
  <c r="G694" i="1"/>
  <c r="P694" i="1"/>
  <c r="G695" i="1"/>
  <c r="P695" i="1"/>
  <c r="G696" i="1"/>
  <c r="P696" i="1"/>
  <c r="G697" i="1"/>
  <c r="P697" i="1"/>
  <c r="G698" i="1"/>
  <c r="P698" i="1"/>
  <c r="G699" i="1"/>
  <c r="P699" i="1"/>
  <c r="G700" i="1"/>
  <c r="P700" i="1"/>
  <c r="G701" i="1"/>
  <c r="P701" i="1"/>
  <c r="G702" i="1"/>
  <c r="P702" i="1"/>
  <c r="G703" i="1"/>
  <c r="P703" i="1"/>
  <c r="G704" i="1"/>
  <c r="P704" i="1"/>
  <c r="G705" i="1"/>
  <c r="P705" i="1"/>
  <c r="G706" i="1"/>
  <c r="P706" i="1"/>
  <c r="G707" i="1"/>
  <c r="P707" i="1"/>
  <c r="G708" i="1"/>
  <c r="P708" i="1"/>
  <c r="G709" i="1"/>
  <c r="P709" i="1"/>
  <c r="G710" i="1"/>
  <c r="P710" i="1"/>
  <c r="G711" i="1"/>
  <c r="P711" i="1"/>
  <c r="G712" i="1"/>
  <c r="P712" i="1"/>
  <c r="G713" i="1"/>
  <c r="P713" i="1"/>
  <c r="G714" i="1"/>
  <c r="P714" i="1"/>
  <c r="G715" i="1"/>
  <c r="P715" i="1"/>
  <c r="G716" i="1"/>
  <c r="P716" i="1"/>
  <c r="G717" i="1"/>
  <c r="P717" i="1"/>
  <c r="G718" i="1"/>
  <c r="P718" i="1"/>
  <c r="G719" i="1"/>
  <c r="P719" i="1"/>
  <c r="G720" i="1"/>
  <c r="P720" i="1"/>
  <c r="G721" i="1"/>
  <c r="P721" i="1"/>
  <c r="G722" i="1"/>
  <c r="P722" i="1"/>
  <c r="G723" i="1"/>
  <c r="P723" i="1"/>
  <c r="G724" i="1"/>
  <c r="P724" i="1"/>
  <c r="G725" i="1"/>
  <c r="P725" i="1"/>
  <c r="G726" i="1"/>
  <c r="P726" i="1"/>
  <c r="G727" i="1"/>
  <c r="P727" i="1"/>
  <c r="G728" i="1"/>
  <c r="P728" i="1"/>
  <c r="G729" i="1"/>
  <c r="P729" i="1"/>
  <c r="G730" i="1"/>
  <c r="P730" i="1"/>
  <c r="G731" i="1"/>
  <c r="P731" i="1"/>
  <c r="G732" i="1"/>
  <c r="P732" i="1"/>
  <c r="G733" i="1"/>
  <c r="P733" i="1"/>
  <c r="G734" i="1"/>
  <c r="P734" i="1"/>
  <c r="G735" i="1"/>
  <c r="P735" i="1"/>
  <c r="G736" i="1"/>
  <c r="P736" i="1"/>
  <c r="G737" i="1"/>
  <c r="P737" i="1"/>
  <c r="G738" i="1"/>
  <c r="P738" i="1"/>
  <c r="G739" i="1"/>
  <c r="P739" i="1"/>
  <c r="G740" i="1"/>
  <c r="P740" i="1"/>
  <c r="G741" i="1"/>
  <c r="P741" i="1"/>
  <c r="G742" i="1"/>
  <c r="P742" i="1"/>
  <c r="G743" i="1"/>
  <c r="P743" i="1"/>
  <c r="G744" i="1"/>
  <c r="P744" i="1"/>
  <c r="G745" i="1"/>
  <c r="P745" i="1"/>
  <c r="G746" i="1"/>
  <c r="P746" i="1"/>
  <c r="G747" i="1"/>
  <c r="P747" i="1"/>
  <c r="G748" i="1"/>
  <c r="P748" i="1"/>
  <c r="G749" i="1"/>
  <c r="P749" i="1"/>
  <c r="G750" i="1"/>
  <c r="P750" i="1"/>
  <c r="G751" i="1"/>
  <c r="P751" i="1"/>
  <c r="G752" i="1"/>
  <c r="P752" i="1"/>
  <c r="G753" i="1"/>
  <c r="P753" i="1"/>
  <c r="G3" i="1"/>
  <c r="P3" i="1"/>
  <c r="H4" i="1"/>
  <c r="O4" i="1"/>
  <c r="H5" i="1"/>
  <c r="O5" i="1"/>
  <c r="H6" i="1"/>
  <c r="O6" i="1"/>
  <c r="H7" i="1"/>
  <c r="O7" i="1"/>
  <c r="H8" i="1"/>
  <c r="O8" i="1"/>
  <c r="H9" i="1"/>
  <c r="O9" i="1"/>
  <c r="H10" i="1"/>
  <c r="O10" i="1"/>
  <c r="H11" i="1"/>
  <c r="O11" i="1"/>
  <c r="H12" i="1"/>
  <c r="O12" i="1"/>
  <c r="H13" i="1"/>
  <c r="O13" i="1"/>
  <c r="H14" i="1"/>
  <c r="O14" i="1"/>
  <c r="H15" i="1"/>
  <c r="O15" i="1"/>
  <c r="H16" i="1"/>
  <c r="O16" i="1"/>
  <c r="H17" i="1"/>
  <c r="O17" i="1"/>
  <c r="H18" i="1"/>
  <c r="O18" i="1"/>
  <c r="H19" i="1"/>
  <c r="O19" i="1"/>
  <c r="H20" i="1"/>
  <c r="O20" i="1"/>
  <c r="H21" i="1"/>
  <c r="O21" i="1"/>
  <c r="H22" i="1"/>
  <c r="O22" i="1"/>
  <c r="H23" i="1"/>
  <c r="O23" i="1"/>
  <c r="H24" i="1"/>
  <c r="O24" i="1"/>
  <c r="H25" i="1"/>
  <c r="O25" i="1"/>
  <c r="H26" i="1"/>
  <c r="O26" i="1"/>
  <c r="H27" i="1"/>
  <c r="O27" i="1"/>
  <c r="H28" i="1"/>
  <c r="O28" i="1"/>
  <c r="H29" i="1"/>
  <c r="O29" i="1"/>
  <c r="H30" i="1"/>
  <c r="O30" i="1"/>
  <c r="H31" i="1"/>
  <c r="O31" i="1"/>
  <c r="H32" i="1"/>
  <c r="O32" i="1"/>
  <c r="H33" i="1"/>
  <c r="O33" i="1"/>
  <c r="H34" i="1"/>
  <c r="O34" i="1"/>
  <c r="H35" i="1"/>
  <c r="O35" i="1"/>
  <c r="H36" i="1"/>
  <c r="O36" i="1"/>
  <c r="H37" i="1"/>
  <c r="O37" i="1"/>
  <c r="H38" i="1"/>
  <c r="O38" i="1"/>
  <c r="H39" i="1"/>
  <c r="O39" i="1"/>
  <c r="H40" i="1"/>
  <c r="O40" i="1"/>
  <c r="H41" i="1"/>
  <c r="O41" i="1"/>
  <c r="H42" i="1"/>
  <c r="O42" i="1"/>
  <c r="H43" i="1"/>
  <c r="O43" i="1"/>
  <c r="H44" i="1"/>
  <c r="O44" i="1"/>
  <c r="H45" i="1"/>
  <c r="O45" i="1"/>
  <c r="H46" i="1"/>
  <c r="O46" i="1"/>
  <c r="H47" i="1"/>
  <c r="O47" i="1"/>
  <c r="H48" i="1"/>
  <c r="O48" i="1"/>
  <c r="H49" i="1"/>
  <c r="O49" i="1"/>
  <c r="H50" i="1"/>
  <c r="O50" i="1"/>
  <c r="H51" i="1"/>
  <c r="O51" i="1"/>
  <c r="H52" i="1"/>
  <c r="O52" i="1"/>
  <c r="H53" i="1"/>
  <c r="O53" i="1"/>
  <c r="H54" i="1"/>
  <c r="O54" i="1"/>
  <c r="H55" i="1"/>
  <c r="O55" i="1"/>
  <c r="H56" i="1"/>
  <c r="O56" i="1"/>
  <c r="H57" i="1"/>
  <c r="O57" i="1"/>
  <c r="H58" i="1"/>
  <c r="O58" i="1"/>
  <c r="H59" i="1"/>
  <c r="O59" i="1"/>
  <c r="H60" i="1"/>
  <c r="O60" i="1"/>
  <c r="H61" i="1"/>
  <c r="O61" i="1"/>
  <c r="H62" i="1"/>
  <c r="O62" i="1"/>
  <c r="H63" i="1"/>
  <c r="O63" i="1"/>
  <c r="H64" i="1"/>
  <c r="O64" i="1"/>
  <c r="H65" i="1"/>
  <c r="O65" i="1"/>
  <c r="H66" i="1"/>
  <c r="O66" i="1"/>
  <c r="H67" i="1"/>
  <c r="O67" i="1"/>
  <c r="H68" i="1"/>
  <c r="O68" i="1"/>
  <c r="H69" i="1"/>
  <c r="O69" i="1"/>
  <c r="H70" i="1"/>
  <c r="O70" i="1"/>
  <c r="H71" i="1"/>
  <c r="O71" i="1"/>
  <c r="H72" i="1"/>
  <c r="O72" i="1"/>
  <c r="H73" i="1"/>
  <c r="O73" i="1"/>
  <c r="H74" i="1"/>
  <c r="O74" i="1"/>
  <c r="H75" i="1"/>
  <c r="O75" i="1"/>
  <c r="H76" i="1"/>
  <c r="O76" i="1"/>
  <c r="H77" i="1"/>
  <c r="O77" i="1"/>
  <c r="H78" i="1"/>
  <c r="O78" i="1"/>
  <c r="H79" i="1"/>
  <c r="O79" i="1"/>
  <c r="H80" i="1"/>
  <c r="O80" i="1"/>
  <c r="H81" i="1"/>
  <c r="O81" i="1"/>
  <c r="H82" i="1"/>
  <c r="O82" i="1"/>
  <c r="H83" i="1"/>
  <c r="O83" i="1"/>
  <c r="H84" i="1"/>
  <c r="O84" i="1"/>
  <c r="H85" i="1"/>
  <c r="O85" i="1"/>
  <c r="H86" i="1"/>
  <c r="O86" i="1"/>
  <c r="H87" i="1"/>
  <c r="O87" i="1"/>
  <c r="H88" i="1"/>
  <c r="O88" i="1"/>
  <c r="H89" i="1"/>
  <c r="O89" i="1"/>
  <c r="H90" i="1"/>
  <c r="O90" i="1"/>
  <c r="H91" i="1"/>
  <c r="O91" i="1"/>
  <c r="H92" i="1"/>
  <c r="O92" i="1"/>
  <c r="H93" i="1"/>
  <c r="O93" i="1"/>
  <c r="H94" i="1"/>
  <c r="O94" i="1"/>
  <c r="H95" i="1"/>
  <c r="O95" i="1"/>
  <c r="H96" i="1"/>
  <c r="O96" i="1"/>
  <c r="H97" i="1"/>
  <c r="O97" i="1"/>
  <c r="H98" i="1"/>
  <c r="O98" i="1"/>
  <c r="H99" i="1"/>
  <c r="O99" i="1"/>
  <c r="H100" i="1"/>
  <c r="O100" i="1"/>
  <c r="H101" i="1"/>
  <c r="O101" i="1"/>
  <c r="H102" i="1"/>
  <c r="O102" i="1"/>
  <c r="H103" i="1"/>
  <c r="O103" i="1"/>
  <c r="H104" i="1"/>
  <c r="O104" i="1"/>
  <c r="H105" i="1"/>
  <c r="O105" i="1"/>
  <c r="H106" i="1"/>
  <c r="O106" i="1"/>
  <c r="H107" i="1"/>
  <c r="O107" i="1"/>
  <c r="H108" i="1"/>
  <c r="O108" i="1"/>
  <c r="H109" i="1"/>
  <c r="O109" i="1"/>
  <c r="H110" i="1"/>
  <c r="O110" i="1"/>
  <c r="H111" i="1"/>
  <c r="O111" i="1"/>
  <c r="H112" i="1"/>
  <c r="O112" i="1"/>
  <c r="H113" i="1"/>
  <c r="O113" i="1"/>
  <c r="H114" i="1"/>
  <c r="O114" i="1"/>
  <c r="H115" i="1"/>
  <c r="O115" i="1"/>
  <c r="H116" i="1"/>
  <c r="O116" i="1"/>
  <c r="H117" i="1"/>
  <c r="O117" i="1"/>
  <c r="H118" i="1"/>
  <c r="O118" i="1"/>
  <c r="H119" i="1"/>
  <c r="O119" i="1"/>
  <c r="H120" i="1"/>
  <c r="O120" i="1"/>
  <c r="H121" i="1"/>
  <c r="O121" i="1"/>
  <c r="H122" i="1"/>
  <c r="O122" i="1"/>
  <c r="H123" i="1"/>
  <c r="O123" i="1"/>
  <c r="H124" i="1"/>
  <c r="O124" i="1"/>
  <c r="H125" i="1"/>
  <c r="O125" i="1"/>
  <c r="H126" i="1"/>
  <c r="O126" i="1"/>
  <c r="H127" i="1"/>
  <c r="O127" i="1"/>
  <c r="H128" i="1"/>
  <c r="O128" i="1"/>
  <c r="H129" i="1"/>
  <c r="O129" i="1"/>
  <c r="H130" i="1"/>
  <c r="O130" i="1"/>
  <c r="H131" i="1"/>
  <c r="O131" i="1"/>
  <c r="H132" i="1"/>
  <c r="O132" i="1"/>
  <c r="H133" i="1"/>
  <c r="O133" i="1"/>
  <c r="H134" i="1"/>
  <c r="O134" i="1"/>
  <c r="H135" i="1"/>
  <c r="O135" i="1"/>
  <c r="H136" i="1"/>
  <c r="O136" i="1"/>
  <c r="H137" i="1"/>
  <c r="O137" i="1"/>
  <c r="H138" i="1"/>
  <c r="O138" i="1"/>
  <c r="H139" i="1"/>
  <c r="O139" i="1"/>
  <c r="H140" i="1"/>
  <c r="O140" i="1"/>
  <c r="H141" i="1"/>
  <c r="O141" i="1"/>
  <c r="H142" i="1"/>
  <c r="O142" i="1"/>
  <c r="H143" i="1"/>
  <c r="O143" i="1"/>
  <c r="H144" i="1"/>
  <c r="O144" i="1"/>
  <c r="H145" i="1"/>
  <c r="O145" i="1"/>
  <c r="H146" i="1"/>
  <c r="O146" i="1"/>
  <c r="H147" i="1"/>
  <c r="O147" i="1"/>
  <c r="H148" i="1"/>
  <c r="O148" i="1"/>
  <c r="H149" i="1"/>
  <c r="O149" i="1"/>
  <c r="H150" i="1"/>
  <c r="O150" i="1"/>
  <c r="H151" i="1"/>
  <c r="O151" i="1"/>
  <c r="H152" i="1"/>
  <c r="O152" i="1"/>
  <c r="H153" i="1"/>
  <c r="O153" i="1"/>
  <c r="H154" i="1"/>
  <c r="O154" i="1"/>
  <c r="H155" i="1"/>
  <c r="O155" i="1"/>
  <c r="H156" i="1"/>
  <c r="O156" i="1"/>
  <c r="H157" i="1"/>
  <c r="O157" i="1"/>
  <c r="H158" i="1"/>
  <c r="O158" i="1"/>
  <c r="H159" i="1"/>
  <c r="O159" i="1"/>
  <c r="H160" i="1"/>
  <c r="O160" i="1"/>
  <c r="H161" i="1"/>
  <c r="O161" i="1"/>
  <c r="H162" i="1"/>
  <c r="O162" i="1"/>
  <c r="H163" i="1"/>
  <c r="O163" i="1"/>
  <c r="H164" i="1"/>
  <c r="O164" i="1"/>
  <c r="H165" i="1"/>
  <c r="O165" i="1"/>
  <c r="H166" i="1"/>
  <c r="O166" i="1"/>
  <c r="H167" i="1"/>
  <c r="O167" i="1"/>
  <c r="H168" i="1"/>
  <c r="O168" i="1"/>
  <c r="H169" i="1"/>
  <c r="O169" i="1"/>
  <c r="H170" i="1"/>
  <c r="O170" i="1"/>
  <c r="H171" i="1"/>
  <c r="O171" i="1"/>
  <c r="H172" i="1"/>
  <c r="O172" i="1"/>
  <c r="H173" i="1"/>
  <c r="O173" i="1"/>
  <c r="H174" i="1"/>
  <c r="O174" i="1"/>
  <c r="H175" i="1"/>
  <c r="O175" i="1"/>
  <c r="H176" i="1"/>
  <c r="O176" i="1"/>
  <c r="H177" i="1"/>
  <c r="O177" i="1"/>
  <c r="H178" i="1"/>
  <c r="O178" i="1"/>
  <c r="H179" i="1"/>
  <c r="O179" i="1"/>
  <c r="H180" i="1"/>
  <c r="O180" i="1"/>
  <c r="H181" i="1"/>
  <c r="O181" i="1"/>
  <c r="H182" i="1"/>
  <c r="O182" i="1"/>
  <c r="H183" i="1"/>
  <c r="O183" i="1"/>
  <c r="H184" i="1"/>
  <c r="O184" i="1"/>
  <c r="H185" i="1"/>
  <c r="O185" i="1"/>
  <c r="H186" i="1"/>
  <c r="O186" i="1"/>
  <c r="H187" i="1"/>
  <c r="O187" i="1"/>
  <c r="H188" i="1"/>
  <c r="O188" i="1"/>
  <c r="H189" i="1"/>
  <c r="O189" i="1"/>
  <c r="H190" i="1"/>
  <c r="O190" i="1"/>
  <c r="H191" i="1"/>
  <c r="O191" i="1"/>
  <c r="H192" i="1"/>
  <c r="O192" i="1"/>
  <c r="H193" i="1"/>
  <c r="O193" i="1"/>
  <c r="H194" i="1"/>
  <c r="O194" i="1"/>
  <c r="H195" i="1"/>
  <c r="O195" i="1"/>
  <c r="H196" i="1"/>
  <c r="O196" i="1"/>
  <c r="H197" i="1"/>
  <c r="O197" i="1"/>
  <c r="H198" i="1"/>
  <c r="O198" i="1"/>
  <c r="H199" i="1"/>
  <c r="O199" i="1"/>
  <c r="H200" i="1"/>
  <c r="O200" i="1"/>
  <c r="H201" i="1"/>
  <c r="O201" i="1"/>
  <c r="H202" i="1"/>
  <c r="O202" i="1"/>
  <c r="H203" i="1"/>
  <c r="O203" i="1"/>
  <c r="H204" i="1"/>
  <c r="O204" i="1"/>
  <c r="H205" i="1"/>
  <c r="O205" i="1"/>
  <c r="H206" i="1"/>
  <c r="O206" i="1"/>
  <c r="H207" i="1"/>
  <c r="O207" i="1"/>
  <c r="H208" i="1"/>
  <c r="O208" i="1"/>
  <c r="H209" i="1"/>
  <c r="O209" i="1"/>
  <c r="H210" i="1"/>
  <c r="O210" i="1"/>
  <c r="H211" i="1"/>
  <c r="O211" i="1"/>
  <c r="H212" i="1"/>
  <c r="O212" i="1"/>
  <c r="H213" i="1"/>
  <c r="O213" i="1"/>
  <c r="H214" i="1"/>
  <c r="O214" i="1"/>
  <c r="H215" i="1"/>
  <c r="O215" i="1"/>
  <c r="H216" i="1"/>
  <c r="O216" i="1"/>
  <c r="H217" i="1"/>
  <c r="O217" i="1"/>
  <c r="H218" i="1"/>
  <c r="O218" i="1"/>
  <c r="H219" i="1"/>
  <c r="O219" i="1"/>
  <c r="H220" i="1"/>
  <c r="O220" i="1"/>
  <c r="H221" i="1"/>
  <c r="O221" i="1"/>
  <c r="H222" i="1"/>
  <c r="O222" i="1"/>
  <c r="H223" i="1"/>
  <c r="O223" i="1"/>
  <c r="H224" i="1"/>
  <c r="O224" i="1"/>
  <c r="H225" i="1"/>
  <c r="O225" i="1"/>
  <c r="H226" i="1"/>
  <c r="O226" i="1"/>
  <c r="H227" i="1"/>
  <c r="O227" i="1"/>
  <c r="H228" i="1"/>
  <c r="O228" i="1"/>
  <c r="H229" i="1"/>
  <c r="O229" i="1"/>
  <c r="H230" i="1"/>
  <c r="O230" i="1"/>
  <c r="H231" i="1"/>
  <c r="O231" i="1"/>
  <c r="H232" i="1"/>
  <c r="O232" i="1"/>
  <c r="H233" i="1"/>
  <c r="O233" i="1"/>
  <c r="H234" i="1"/>
  <c r="O234" i="1"/>
  <c r="H235" i="1"/>
  <c r="O235" i="1"/>
  <c r="H236" i="1"/>
  <c r="O236" i="1"/>
  <c r="H237" i="1"/>
  <c r="O237" i="1"/>
  <c r="H238" i="1"/>
  <c r="O238" i="1"/>
  <c r="H239" i="1"/>
  <c r="O239" i="1"/>
  <c r="H240" i="1"/>
  <c r="O240" i="1"/>
  <c r="H241" i="1"/>
  <c r="O241" i="1"/>
  <c r="H242" i="1"/>
  <c r="O242" i="1"/>
  <c r="H243" i="1"/>
  <c r="O243" i="1"/>
  <c r="H244" i="1"/>
  <c r="O244" i="1"/>
  <c r="H245" i="1"/>
  <c r="O245" i="1"/>
  <c r="H246" i="1"/>
  <c r="O246" i="1"/>
  <c r="H247" i="1"/>
  <c r="O247" i="1"/>
  <c r="H248" i="1"/>
  <c r="O248" i="1"/>
  <c r="H249" i="1"/>
  <c r="O249" i="1"/>
  <c r="H250" i="1"/>
  <c r="O250" i="1"/>
  <c r="H251" i="1"/>
  <c r="O251" i="1"/>
  <c r="H252" i="1"/>
  <c r="O252" i="1"/>
  <c r="H253" i="1"/>
  <c r="O253" i="1"/>
  <c r="H254" i="1"/>
  <c r="O254" i="1"/>
  <c r="H255" i="1"/>
  <c r="O255" i="1"/>
  <c r="H256" i="1"/>
  <c r="O256" i="1"/>
  <c r="H257" i="1"/>
  <c r="O257" i="1"/>
  <c r="H258" i="1"/>
  <c r="O258" i="1"/>
  <c r="H259" i="1"/>
  <c r="O259" i="1"/>
  <c r="H260" i="1"/>
  <c r="O260" i="1"/>
  <c r="H261" i="1"/>
  <c r="O261" i="1"/>
  <c r="H262" i="1"/>
  <c r="O262" i="1"/>
  <c r="H263" i="1"/>
  <c r="O263" i="1"/>
  <c r="H264" i="1"/>
  <c r="O264" i="1"/>
  <c r="H265" i="1"/>
  <c r="O265" i="1"/>
  <c r="H266" i="1"/>
  <c r="O266" i="1"/>
  <c r="H267" i="1"/>
  <c r="O267" i="1"/>
  <c r="H268" i="1"/>
  <c r="O268" i="1"/>
  <c r="H269" i="1"/>
  <c r="O269" i="1"/>
  <c r="H270" i="1"/>
  <c r="O270" i="1"/>
  <c r="H271" i="1"/>
  <c r="O271" i="1"/>
  <c r="H272" i="1"/>
  <c r="O272" i="1"/>
  <c r="H273" i="1"/>
  <c r="O273" i="1"/>
  <c r="H274" i="1"/>
  <c r="O274" i="1"/>
  <c r="H275" i="1"/>
  <c r="O275" i="1"/>
  <c r="H276" i="1"/>
  <c r="O276" i="1"/>
  <c r="H277" i="1"/>
  <c r="O277" i="1"/>
  <c r="H278" i="1"/>
  <c r="O278" i="1"/>
  <c r="H279" i="1"/>
  <c r="O279" i="1"/>
  <c r="H280" i="1"/>
  <c r="O280" i="1"/>
  <c r="H281" i="1"/>
  <c r="O281" i="1"/>
  <c r="H282" i="1"/>
  <c r="O282" i="1"/>
  <c r="H283" i="1"/>
  <c r="O283" i="1"/>
  <c r="H284" i="1"/>
  <c r="O284" i="1"/>
  <c r="H285" i="1"/>
  <c r="O285" i="1"/>
  <c r="H286" i="1"/>
  <c r="O286" i="1"/>
  <c r="H287" i="1"/>
  <c r="O287" i="1"/>
  <c r="H288" i="1"/>
  <c r="O288" i="1"/>
  <c r="H289" i="1"/>
  <c r="O289" i="1"/>
  <c r="H290" i="1"/>
  <c r="O290" i="1"/>
  <c r="H291" i="1"/>
  <c r="O291" i="1"/>
  <c r="H292" i="1"/>
  <c r="O292" i="1"/>
  <c r="H293" i="1"/>
  <c r="O293" i="1"/>
  <c r="H294" i="1"/>
  <c r="O294" i="1"/>
  <c r="H295" i="1"/>
  <c r="O295" i="1"/>
  <c r="H296" i="1"/>
  <c r="O296" i="1"/>
  <c r="H297" i="1"/>
  <c r="O297" i="1"/>
  <c r="H298" i="1"/>
  <c r="O298" i="1"/>
  <c r="H299" i="1"/>
  <c r="O299" i="1"/>
  <c r="H300" i="1"/>
  <c r="O300" i="1"/>
  <c r="H301" i="1"/>
  <c r="O301" i="1"/>
  <c r="H302" i="1"/>
  <c r="O302" i="1"/>
  <c r="H303" i="1"/>
  <c r="O303" i="1"/>
  <c r="H304" i="1"/>
  <c r="O304" i="1"/>
  <c r="H305" i="1"/>
  <c r="O305" i="1"/>
  <c r="H306" i="1"/>
  <c r="O306" i="1"/>
  <c r="H307" i="1"/>
  <c r="O307" i="1"/>
  <c r="H308" i="1"/>
  <c r="O308" i="1"/>
  <c r="H309" i="1"/>
  <c r="O309" i="1"/>
  <c r="H310" i="1"/>
  <c r="O310" i="1"/>
  <c r="H311" i="1"/>
  <c r="O311" i="1"/>
  <c r="H312" i="1"/>
  <c r="O312" i="1"/>
  <c r="H313" i="1"/>
  <c r="O313" i="1"/>
  <c r="H314" i="1"/>
  <c r="O314" i="1"/>
  <c r="H315" i="1"/>
  <c r="O315" i="1"/>
  <c r="H316" i="1"/>
  <c r="O316" i="1"/>
  <c r="H317" i="1"/>
  <c r="O317" i="1"/>
  <c r="H318" i="1"/>
  <c r="O318" i="1"/>
  <c r="H319" i="1"/>
  <c r="O319" i="1"/>
  <c r="H320" i="1"/>
  <c r="O320" i="1"/>
  <c r="H321" i="1"/>
  <c r="O321" i="1"/>
  <c r="H322" i="1"/>
  <c r="O322" i="1"/>
  <c r="H323" i="1"/>
  <c r="O323" i="1"/>
  <c r="H324" i="1"/>
  <c r="O324" i="1"/>
  <c r="H325" i="1"/>
  <c r="O325" i="1"/>
  <c r="H326" i="1"/>
  <c r="O326" i="1"/>
  <c r="H327" i="1"/>
  <c r="O327" i="1"/>
  <c r="H328" i="1"/>
  <c r="O328" i="1"/>
  <c r="H329" i="1"/>
  <c r="O329" i="1"/>
  <c r="H330" i="1"/>
  <c r="O330" i="1"/>
  <c r="H331" i="1"/>
  <c r="O331" i="1"/>
  <c r="H332" i="1"/>
  <c r="O332" i="1"/>
  <c r="H333" i="1"/>
  <c r="O333" i="1"/>
  <c r="H334" i="1"/>
  <c r="O334" i="1"/>
  <c r="H335" i="1"/>
  <c r="O335" i="1"/>
  <c r="H336" i="1"/>
  <c r="O336" i="1"/>
  <c r="H337" i="1"/>
  <c r="O337" i="1"/>
  <c r="H338" i="1"/>
  <c r="O338" i="1"/>
  <c r="H339" i="1"/>
  <c r="O339" i="1"/>
  <c r="H340" i="1"/>
  <c r="O340" i="1"/>
  <c r="H341" i="1"/>
  <c r="O341" i="1"/>
  <c r="H342" i="1"/>
  <c r="O342" i="1"/>
  <c r="H343" i="1"/>
  <c r="O343" i="1"/>
  <c r="H344" i="1"/>
  <c r="O344" i="1"/>
  <c r="H345" i="1"/>
  <c r="O345" i="1"/>
  <c r="H346" i="1"/>
  <c r="O346" i="1"/>
  <c r="H347" i="1"/>
  <c r="O347" i="1"/>
  <c r="H348" i="1"/>
  <c r="O348" i="1"/>
  <c r="H349" i="1"/>
  <c r="O349" i="1"/>
  <c r="H350" i="1"/>
  <c r="O350" i="1"/>
  <c r="H351" i="1"/>
  <c r="O351" i="1"/>
  <c r="H352" i="1"/>
  <c r="O352" i="1"/>
  <c r="H353" i="1"/>
  <c r="O353" i="1"/>
  <c r="H354" i="1"/>
  <c r="O354" i="1"/>
  <c r="H355" i="1"/>
  <c r="O355" i="1"/>
  <c r="H356" i="1"/>
  <c r="O356" i="1"/>
  <c r="H357" i="1"/>
  <c r="O357" i="1"/>
  <c r="H358" i="1"/>
  <c r="O358" i="1"/>
  <c r="H359" i="1"/>
  <c r="O359" i="1"/>
  <c r="H360" i="1"/>
  <c r="O360" i="1"/>
  <c r="H361" i="1"/>
  <c r="O361" i="1"/>
  <c r="H362" i="1"/>
  <c r="O362" i="1"/>
  <c r="H363" i="1"/>
  <c r="O363" i="1"/>
  <c r="H364" i="1"/>
  <c r="O364" i="1"/>
  <c r="H365" i="1"/>
  <c r="O365" i="1"/>
  <c r="H366" i="1"/>
  <c r="O366" i="1"/>
  <c r="H367" i="1"/>
  <c r="O367" i="1"/>
  <c r="H368" i="1"/>
  <c r="O368" i="1"/>
  <c r="H369" i="1"/>
  <c r="O369" i="1"/>
  <c r="H370" i="1"/>
  <c r="O370" i="1"/>
  <c r="H371" i="1"/>
  <c r="O371" i="1"/>
  <c r="H372" i="1"/>
  <c r="O372" i="1"/>
  <c r="H373" i="1"/>
  <c r="O373" i="1"/>
  <c r="H374" i="1"/>
  <c r="O374" i="1"/>
  <c r="H375" i="1"/>
  <c r="O375" i="1"/>
  <c r="H376" i="1"/>
  <c r="O376" i="1"/>
  <c r="H377" i="1"/>
  <c r="O377" i="1"/>
  <c r="H378" i="1"/>
  <c r="O378" i="1"/>
  <c r="H379" i="1"/>
  <c r="O379" i="1"/>
  <c r="H380" i="1"/>
  <c r="O380" i="1"/>
  <c r="H381" i="1"/>
  <c r="O381" i="1"/>
  <c r="H382" i="1"/>
  <c r="O382" i="1"/>
  <c r="H383" i="1"/>
  <c r="O383" i="1"/>
  <c r="H384" i="1"/>
  <c r="O384" i="1"/>
  <c r="H385" i="1"/>
  <c r="O385" i="1"/>
  <c r="H386" i="1"/>
  <c r="O386" i="1"/>
  <c r="H387" i="1"/>
  <c r="O387" i="1"/>
  <c r="H388" i="1"/>
  <c r="O388" i="1"/>
  <c r="H389" i="1"/>
  <c r="O389" i="1"/>
  <c r="H390" i="1"/>
  <c r="O390" i="1"/>
  <c r="H391" i="1"/>
  <c r="O391" i="1"/>
  <c r="H392" i="1"/>
  <c r="O392" i="1"/>
  <c r="H393" i="1"/>
  <c r="O393" i="1"/>
  <c r="H394" i="1"/>
  <c r="O394" i="1"/>
  <c r="H395" i="1"/>
  <c r="O395" i="1"/>
  <c r="H396" i="1"/>
  <c r="O396" i="1"/>
  <c r="H397" i="1"/>
  <c r="O397" i="1"/>
  <c r="H398" i="1"/>
  <c r="O398" i="1"/>
  <c r="H399" i="1"/>
  <c r="O399" i="1"/>
  <c r="H400" i="1"/>
  <c r="O400" i="1"/>
  <c r="H401" i="1"/>
  <c r="O401" i="1"/>
  <c r="H402" i="1"/>
  <c r="O402" i="1"/>
  <c r="H403" i="1"/>
  <c r="O403" i="1"/>
  <c r="H404" i="1"/>
  <c r="O404" i="1"/>
  <c r="H405" i="1"/>
  <c r="O405" i="1"/>
  <c r="H406" i="1"/>
  <c r="O406" i="1"/>
  <c r="H407" i="1"/>
  <c r="O407" i="1"/>
  <c r="H408" i="1"/>
  <c r="O408" i="1"/>
  <c r="H409" i="1"/>
  <c r="O409" i="1"/>
  <c r="H410" i="1"/>
  <c r="O410" i="1"/>
  <c r="H411" i="1"/>
  <c r="O411" i="1"/>
  <c r="H412" i="1"/>
  <c r="O412" i="1"/>
  <c r="H413" i="1"/>
  <c r="O413" i="1"/>
  <c r="H414" i="1"/>
  <c r="O414" i="1"/>
  <c r="H415" i="1"/>
  <c r="O415" i="1"/>
  <c r="H416" i="1"/>
  <c r="O416" i="1"/>
  <c r="H417" i="1"/>
  <c r="O417" i="1"/>
  <c r="H418" i="1"/>
  <c r="O418" i="1"/>
  <c r="H419" i="1"/>
  <c r="O419" i="1"/>
  <c r="H420" i="1"/>
  <c r="O420" i="1"/>
  <c r="H421" i="1"/>
  <c r="O421" i="1"/>
  <c r="H422" i="1"/>
  <c r="O422" i="1"/>
  <c r="H423" i="1"/>
  <c r="O423" i="1"/>
  <c r="H424" i="1"/>
  <c r="O424" i="1"/>
  <c r="H425" i="1"/>
  <c r="O425" i="1"/>
  <c r="H426" i="1"/>
  <c r="O426" i="1"/>
  <c r="H427" i="1"/>
  <c r="O427" i="1"/>
  <c r="H428" i="1"/>
  <c r="O428" i="1"/>
  <c r="H429" i="1"/>
  <c r="O429" i="1"/>
  <c r="H430" i="1"/>
  <c r="O430" i="1"/>
  <c r="H431" i="1"/>
  <c r="O431" i="1"/>
  <c r="H432" i="1"/>
  <c r="O432" i="1"/>
  <c r="H433" i="1"/>
  <c r="O433" i="1"/>
  <c r="H434" i="1"/>
  <c r="O434" i="1"/>
  <c r="H435" i="1"/>
  <c r="O435" i="1"/>
  <c r="H436" i="1"/>
  <c r="O436" i="1"/>
  <c r="H437" i="1"/>
  <c r="O437" i="1"/>
  <c r="H438" i="1"/>
  <c r="O438" i="1"/>
  <c r="H439" i="1"/>
  <c r="O439" i="1"/>
  <c r="H440" i="1"/>
  <c r="O440" i="1"/>
  <c r="H441" i="1"/>
  <c r="O441" i="1"/>
  <c r="H442" i="1"/>
  <c r="O442" i="1"/>
  <c r="H443" i="1"/>
  <c r="O443" i="1"/>
  <c r="H444" i="1"/>
  <c r="O444" i="1"/>
  <c r="H445" i="1"/>
  <c r="O445" i="1"/>
  <c r="H446" i="1"/>
  <c r="O446" i="1"/>
  <c r="H447" i="1"/>
  <c r="O447" i="1"/>
  <c r="H448" i="1"/>
  <c r="O448" i="1"/>
  <c r="H449" i="1"/>
  <c r="O449" i="1"/>
  <c r="H450" i="1"/>
  <c r="O450" i="1"/>
  <c r="H451" i="1"/>
  <c r="O451" i="1"/>
  <c r="H452" i="1"/>
  <c r="O452" i="1"/>
  <c r="H453" i="1"/>
  <c r="O453" i="1"/>
  <c r="H454" i="1"/>
  <c r="O454" i="1"/>
  <c r="H455" i="1"/>
  <c r="O455" i="1"/>
  <c r="H456" i="1"/>
  <c r="O456" i="1"/>
  <c r="H457" i="1"/>
  <c r="O457" i="1"/>
  <c r="H458" i="1"/>
  <c r="O458" i="1"/>
  <c r="H459" i="1"/>
  <c r="O459" i="1"/>
  <c r="H460" i="1"/>
  <c r="O460" i="1"/>
  <c r="H461" i="1"/>
  <c r="O461" i="1"/>
  <c r="H462" i="1"/>
  <c r="O462" i="1"/>
  <c r="H463" i="1"/>
  <c r="O463" i="1"/>
  <c r="H464" i="1"/>
  <c r="O464" i="1"/>
  <c r="H465" i="1"/>
  <c r="O465" i="1"/>
  <c r="H466" i="1"/>
  <c r="O466" i="1"/>
  <c r="H467" i="1"/>
  <c r="O467" i="1"/>
  <c r="H468" i="1"/>
  <c r="O468" i="1"/>
  <c r="H469" i="1"/>
  <c r="O469" i="1"/>
  <c r="H470" i="1"/>
  <c r="O470" i="1"/>
  <c r="H471" i="1"/>
  <c r="O471" i="1"/>
  <c r="H472" i="1"/>
  <c r="O472" i="1"/>
  <c r="H473" i="1"/>
  <c r="O473" i="1"/>
  <c r="H474" i="1"/>
  <c r="O474" i="1"/>
  <c r="H475" i="1"/>
  <c r="O475" i="1"/>
  <c r="H476" i="1"/>
  <c r="O476" i="1"/>
  <c r="H477" i="1"/>
  <c r="O477" i="1"/>
  <c r="H478" i="1"/>
  <c r="O478" i="1"/>
  <c r="H479" i="1"/>
  <c r="O479" i="1"/>
  <c r="H480" i="1"/>
  <c r="O480" i="1"/>
  <c r="H481" i="1"/>
  <c r="O481" i="1"/>
  <c r="H482" i="1"/>
  <c r="O482" i="1"/>
  <c r="H483" i="1"/>
  <c r="O483" i="1"/>
  <c r="H484" i="1"/>
  <c r="O484" i="1"/>
  <c r="H485" i="1"/>
  <c r="O485" i="1"/>
  <c r="H486" i="1"/>
  <c r="O486" i="1"/>
  <c r="H487" i="1"/>
  <c r="O487" i="1"/>
  <c r="H488" i="1"/>
  <c r="O488" i="1"/>
  <c r="H489" i="1"/>
  <c r="O489" i="1"/>
  <c r="H490" i="1"/>
  <c r="O490" i="1"/>
  <c r="H491" i="1"/>
  <c r="O491" i="1"/>
  <c r="H492" i="1"/>
  <c r="O492" i="1"/>
  <c r="H493" i="1"/>
  <c r="O493" i="1"/>
  <c r="H494" i="1"/>
  <c r="O494" i="1"/>
  <c r="H495" i="1"/>
  <c r="O495" i="1"/>
  <c r="H496" i="1"/>
  <c r="O496" i="1"/>
  <c r="H497" i="1"/>
  <c r="O497" i="1"/>
  <c r="H498" i="1"/>
  <c r="O498" i="1"/>
  <c r="H499" i="1"/>
  <c r="O499" i="1"/>
  <c r="H500" i="1"/>
  <c r="O500" i="1"/>
  <c r="H501" i="1"/>
  <c r="O501" i="1"/>
  <c r="H502" i="1"/>
  <c r="O502" i="1"/>
  <c r="H503" i="1"/>
  <c r="O503" i="1"/>
  <c r="H504" i="1"/>
  <c r="O504" i="1"/>
  <c r="H505" i="1"/>
  <c r="O505" i="1"/>
  <c r="H506" i="1"/>
  <c r="O506" i="1"/>
  <c r="H507" i="1"/>
  <c r="O507" i="1"/>
  <c r="H508" i="1"/>
  <c r="O508" i="1"/>
  <c r="H509" i="1"/>
  <c r="O509" i="1"/>
  <c r="H510" i="1"/>
  <c r="O510" i="1"/>
  <c r="H511" i="1"/>
  <c r="O511" i="1"/>
  <c r="H512" i="1"/>
  <c r="O512" i="1"/>
  <c r="H513" i="1"/>
  <c r="O513" i="1"/>
  <c r="H514" i="1"/>
  <c r="O514" i="1"/>
  <c r="H515" i="1"/>
  <c r="O515" i="1"/>
  <c r="H516" i="1"/>
  <c r="O516" i="1"/>
  <c r="H517" i="1"/>
  <c r="O517" i="1"/>
  <c r="H518" i="1"/>
  <c r="O518" i="1"/>
  <c r="H519" i="1"/>
  <c r="O519" i="1"/>
  <c r="H520" i="1"/>
  <c r="O520" i="1"/>
  <c r="H521" i="1"/>
  <c r="O521" i="1"/>
  <c r="H522" i="1"/>
  <c r="O522" i="1"/>
  <c r="H523" i="1"/>
  <c r="O523" i="1"/>
  <c r="H524" i="1"/>
  <c r="O524" i="1"/>
  <c r="H525" i="1"/>
  <c r="O525" i="1"/>
  <c r="H526" i="1"/>
  <c r="O526" i="1"/>
  <c r="H527" i="1"/>
  <c r="O527" i="1"/>
  <c r="H528" i="1"/>
  <c r="O528" i="1"/>
  <c r="H529" i="1"/>
  <c r="O529" i="1"/>
  <c r="H530" i="1"/>
  <c r="O530" i="1"/>
  <c r="H531" i="1"/>
  <c r="O531" i="1"/>
  <c r="H532" i="1"/>
  <c r="O532" i="1"/>
  <c r="H533" i="1"/>
  <c r="O533" i="1"/>
  <c r="H534" i="1"/>
  <c r="O534" i="1"/>
  <c r="H535" i="1"/>
  <c r="O535" i="1"/>
  <c r="H536" i="1"/>
  <c r="O536" i="1"/>
  <c r="H537" i="1"/>
  <c r="O537" i="1"/>
  <c r="H538" i="1"/>
  <c r="O538" i="1"/>
  <c r="H539" i="1"/>
  <c r="O539" i="1"/>
  <c r="H540" i="1"/>
  <c r="O540" i="1"/>
  <c r="H541" i="1"/>
  <c r="O541" i="1"/>
  <c r="H542" i="1"/>
  <c r="O542" i="1"/>
  <c r="H543" i="1"/>
  <c r="O543" i="1"/>
  <c r="H544" i="1"/>
  <c r="O544" i="1"/>
  <c r="H545" i="1"/>
  <c r="O545" i="1"/>
  <c r="H546" i="1"/>
  <c r="O546" i="1"/>
  <c r="H547" i="1"/>
  <c r="O547" i="1"/>
  <c r="H548" i="1"/>
  <c r="O548" i="1"/>
  <c r="H549" i="1"/>
  <c r="O549" i="1"/>
  <c r="H550" i="1"/>
  <c r="O550" i="1"/>
  <c r="H551" i="1"/>
  <c r="O551" i="1"/>
  <c r="H552" i="1"/>
  <c r="O552" i="1"/>
  <c r="H553" i="1"/>
  <c r="O553" i="1"/>
  <c r="H554" i="1"/>
  <c r="O554" i="1"/>
  <c r="H555" i="1"/>
  <c r="O555" i="1"/>
  <c r="H556" i="1"/>
  <c r="O556" i="1"/>
  <c r="H557" i="1"/>
  <c r="O557" i="1"/>
  <c r="H558" i="1"/>
  <c r="O558" i="1"/>
  <c r="H559" i="1"/>
  <c r="O559" i="1"/>
  <c r="H560" i="1"/>
  <c r="O560" i="1"/>
  <c r="H561" i="1"/>
  <c r="O561" i="1"/>
  <c r="H562" i="1"/>
  <c r="O562" i="1"/>
  <c r="H563" i="1"/>
  <c r="O563" i="1"/>
  <c r="H564" i="1"/>
  <c r="O564" i="1"/>
  <c r="H565" i="1"/>
  <c r="O565" i="1"/>
  <c r="H566" i="1"/>
  <c r="O566" i="1"/>
  <c r="H567" i="1"/>
  <c r="O567" i="1"/>
  <c r="H568" i="1"/>
  <c r="O568" i="1"/>
  <c r="H569" i="1"/>
  <c r="O569" i="1"/>
  <c r="H570" i="1"/>
  <c r="O570" i="1"/>
  <c r="H571" i="1"/>
  <c r="O571" i="1"/>
  <c r="H572" i="1"/>
  <c r="O572" i="1"/>
  <c r="H573" i="1"/>
  <c r="O573" i="1"/>
  <c r="H574" i="1"/>
  <c r="O574" i="1"/>
  <c r="H575" i="1"/>
  <c r="O575" i="1"/>
  <c r="H576" i="1"/>
  <c r="O576" i="1"/>
  <c r="H577" i="1"/>
  <c r="O577" i="1"/>
  <c r="H578" i="1"/>
  <c r="O578" i="1"/>
  <c r="H579" i="1"/>
  <c r="O579" i="1"/>
  <c r="H580" i="1"/>
  <c r="O580" i="1"/>
  <c r="H581" i="1"/>
  <c r="O581" i="1"/>
  <c r="H582" i="1"/>
  <c r="O582" i="1"/>
  <c r="H583" i="1"/>
  <c r="O583" i="1"/>
  <c r="H584" i="1"/>
  <c r="O584" i="1"/>
  <c r="H585" i="1"/>
  <c r="O585" i="1"/>
  <c r="H586" i="1"/>
  <c r="O586" i="1"/>
  <c r="H587" i="1"/>
  <c r="O587" i="1"/>
  <c r="H588" i="1"/>
  <c r="O588" i="1"/>
  <c r="H589" i="1"/>
  <c r="O589" i="1"/>
  <c r="H590" i="1"/>
  <c r="O590" i="1"/>
  <c r="H591" i="1"/>
  <c r="O591" i="1"/>
  <c r="H592" i="1"/>
  <c r="O592" i="1"/>
  <c r="H593" i="1"/>
  <c r="O593" i="1"/>
  <c r="H594" i="1"/>
  <c r="O594" i="1"/>
  <c r="H595" i="1"/>
  <c r="O595" i="1"/>
  <c r="H596" i="1"/>
  <c r="O596" i="1"/>
  <c r="H597" i="1"/>
  <c r="O597" i="1"/>
  <c r="H598" i="1"/>
  <c r="O598" i="1"/>
  <c r="H599" i="1"/>
  <c r="O599" i="1"/>
  <c r="H600" i="1"/>
  <c r="O600" i="1"/>
  <c r="H601" i="1"/>
  <c r="O601" i="1"/>
  <c r="H602" i="1"/>
  <c r="O602" i="1"/>
  <c r="H603" i="1"/>
  <c r="O603" i="1"/>
  <c r="H604" i="1"/>
  <c r="O604" i="1"/>
  <c r="H605" i="1"/>
  <c r="O605" i="1"/>
  <c r="H606" i="1"/>
  <c r="O606" i="1"/>
  <c r="H607" i="1"/>
  <c r="O607" i="1"/>
  <c r="H608" i="1"/>
  <c r="O608" i="1"/>
  <c r="H609" i="1"/>
  <c r="O609" i="1"/>
  <c r="H610" i="1"/>
  <c r="O610" i="1"/>
  <c r="H611" i="1"/>
  <c r="O611" i="1"/>
  <c r="H612" i="1"/>
  <c r="O612" i="1"/>
  <c r="H613" i="1"/>
  <c r="O613" i="1"/>
  <c r="H614" i="1"/>
  <c r="O614" i="1"/>
  <c r="H615" i="1"/>
  <c r="O615" i="1"/>
  <c r="H616" i="1"/>
  <c r="O616" i="1"/>
  <c r="H617" i="1"/>
  <c r="O617" i="1"/>
  <c r="H618" i="1"/>
  <c r="O618" i="1"/>
  <c r="H619" i="1"/>
  <c r="O619" i="1"/>
  <c r="H620" i="1"/>
  <c r="O620" i="1"/>
  <c r="H621" i="1"/>
  <c r="O621" i="1"/>
  <c r="H622" i="1"/>
  <c r="O622" i="1"/>
  <c r="H623" i="1"/>
  <c r="O623" i="1"/>
  <c r="H624" i="1"/>
  <c r="O624" i="1"/>
  <c r="H625" i="1"/>
  <c r="O625" i="1"/>
  <c r="H626" i="1"/>
  <c r="O626" i="1"/>
  <c r="H627" i="1"/>
  <c r="O627" i="1"/>
  <c r="H628" i="1"/>
  <c r="O628" i="1"/>
  <c r="H629" i="1"/>
  <c r="O629" i="1"/>
  <c r="H630" i="1"/>
  <c r="O630" i="1"/>
  <c r="H631" i="1"/>
  <c r="O631" i="1"/>
  <c r="H632" i="1"/>
  <c r="O632" i="1"/>
  <c r="H633" i="1"/>
  <c r="O633" i="1"/>
  <c r="H634" i="1"/>
  <c r="O634" i="1"/>
  <c r="H635" i="1"/>
  <c r="O635" i="1"/>
  <c r="H636" i="1"/>
  <c r="O636" i="1"/>
  <c r="H637" i="1"/>
  <c r="O637" i="1"/>
  <c r="H638" i="1"/>
  <c r="O638" i="1"/>
  <c r="H639" i="1"/>
  <c r="O639" i="1"/>
  <c r="H640" i="1"/>
  <c r="O640" i="1"/>
  <c r="H641" i="1"/>
  <c r="O641" i="1"/>
  <c r="H642" i="1"/>
  <c r="O642" i="1"/>
  <c r="H643" i="1"/>
  <c r="O643" i="1"/>
  <c r="H644" i="1"/>
  <c r="O644" i="1"/>
  <c r="H645" i="1"/>
  <c r="O645" i="1"/>
  <c r="H646" i="1"/>
  <c r="O646" i="1"/>
  <c r="H647" i="1"/>
  <c r="O647" i="1"/>
  <c r="H648" i="1"/>
  <c r="O648" i="1"/>
  <c r="H649" i="1"/>
  <c r="O649" i="1"/>
  <c r="H650" i="1"/>
  <c r="O650" i="1"/>
  <c r="H651" i="1"/>
  <c r="O651" i="1"/>
  <c r="H652" i="1"/>
  <c r="O652" i="1"/>
  <c r="H653" i="1"/>
  <c r="O653" i="1"/>
  <c r="H654" i="1"/>
  <c r="O654" i="1"/>
  <c r="H655" i="1"/>
  <c r="O655" i="1"/>
  <c r="H656" i="1"/>
  <c r="O656" i="1"/>
  <c r="H657" i="1"/>
  <c r="O657" i="1"/>
  <c r="H658" i="1"/>
  <c r="O658" i="1"/>
  <c r="H659" i="1"/>
  <c r="O659" i="1"/>
  <c r="H660" i="1"/>
  <c r="O660" i="1"/>
  <c r="H661" i="1"/>
  <c r="O661" i="1"/>
  <c r="H662" i="1"/>
  <c r="O662" i="1"/>
  <c r="H663" i="1"/>
  <c r="O663" i="1"/>
  <c r="H664" i="1"/>
  <c r="O664" i="1"/>
  <c r="H665" i="1"/>
  <c r="O665" i="1"/>
  <c r="H666" i="1"/>
  <c r="O666" i="1"/>
  <c r="H667" i="1"/>
  <c r="O667" i="1"/>
  <c r="H668" i="1"/>
  <c r="O668" i="1"/>
  <c r="H669" i="1"/>
  <c r="O669" i="1"/>
  <c r="H670" i="1"/>
  <c r="O670" i="1"/>
  <c r="H671" i="1"/>
  <c r="O671" i="1"/>
  <c r="H672" i="1"/>
  <c r="O672" i="1"/>
  <c r="H673" i="1"/>
  <c r="O673" i="1"/>
  <c r="H674" i="1"/>
  <c r="O674" i="1"/>
  <c r="H675" i="1"/>
  <c r="O675" i="1"/>
  <c r="H676" i="1"/>
  <c r="O676" i="1"/>
  <c r="H677" i="1"/>
  <c r="O677" i="1"/>
  <c r="H678" i="1"/>
  <c r="O678" i="1"/>
  <c r="H679" i="1"/>
  <c r="O679" i="1"/>
  <c r="H680" i="1"/>
  <c r="O680" i="1"/>
  <c r="H681" i="1"/>
  <c r="O681" i="1"/>
  <c r="H682" i="1"/>
  <c r="O682" i="1"/>
  <c r="H683" i="1"/>
  <c r="O683" i="1"/>
  <c r="H684" i="1"/>
  <c r="O684" i="1"/>
  <c r="H685" i="1"/>
  <c r="O685" i="1"/>
  <c r="H686" i="1"/>
  <c r="O686" i="1"/>
  <c r="H687" i="1"/>
  <c r="O687" i="1"/>
  <c r="H688" i="1"/>
  <c r="O688" i="1"/>
  <c r="H689" i="1"/>
  <c r="O689" i="1"/>
  <c r="H690" i="1"/>
  <c r="O690" i="1"/>
  <c r="H691" i="1"/>
  <c r="O691" i="1"/>
  <c r="H692" i="1"/>
  <c r="O692" i="1"/>
  <c r="H693" i="1"/>
  <c r="O693" i="1"/>
  <c r="H694" i="1"/>
  <c r="O694" i="1"/>
  <c r="H695" i="1"/>
  <c r="O695" i="1"/>
  <c r="H696" i="1"/>
  <c r="O696" i="1"/>
  <c r="H697" i="1"/>
  <c r="O697" i="1"/>
  <c r="H698" i="1"/>
  <c r="O698" i="1"/>
  <c r="H699" i="1"/>
  <c r="O699" i="1"/>
  <c r="H700" i="1"/>
  <c r="O700" i="1"/>
  <c r="H701" i="1"/>
  <c r="O701" i="1"/>
  <c r="H702" i="1"/>
  <c r="O702" i="1"/>
  <c r="H703" i="1"/>
  <c r="O703" i="1"/>
  <c r="H704" i="1"/>
  <c r="O704" i="1"/>
  <c r="H705" i="1"/>
  <c r="O705" i="1"/>
  <c r="H706" i="1"/>
  <c r="O706" i="1"/>
  <c r="H707" i="1"/>
  <c r="O707" i="1"/>
  <c r="H708" i="1"/>
  <c r="O708" i="1"/>
  <c r="H709" i="1"/>
  <c r="O709" i="1"/>
  <c r="H710" i="1"/>
  <c r="O710" i="1"/>
  <c r="H711" i="1"/>
  <c r="O711" i="1"/>
  <c r="H712" i="1"/>
  <c r="O712" i="1"/>
  <c r="H713" i="1"/>
  <c r="O713" i="1"/>
  <c r="H714" i="1"/>
  <c r="O714" i="1"/>
  <c r="H715" i="1"/>
  <c r="O715" i="1"/>
  <c r="H716" i="1"/>
  <c r="O716" i="1"/>
  <c r="H717" i="1"/>
  <c r="O717" i="1"/>
  <c r="H718" i="1"/>
  <c r="O718" i="1"/>
  <c r="H719" i="1"/>
  <c r="O719" i="1"/>
  <c r="H720" i="1"/>
  <c r="O720" i="1"/>
  <c r="H721" i="1"/>
  <c r="O721" i="1"/>
  <c r="H722" i="1"/>
  <c r="O722" i="1"/>
  <c r="H723" i="1"/>
  <c r="O723" i="1"/>
  <c r="H724" i="1"/>
  <c r="O724" i="1"/>
  <c r="H725" i="1"/>
  <c r="O725" i="1"/>
  <c r="H726" i="1"/>
  <c r="O726" i="1"/>
  <c r="H727" i="1"/>
  <c r="O727" i="1"/>
  <c r="H728" i="1"/>
  <c r="O728" i="1"/>
  <c r="H729" i="1"/>
  <c r="O729" i="1"/>
  <c r="H730" i="1"/>
  <c r="O730" i="1"/>
  <c r="H731" i="1"/>
  <c r="O731" i="1"/>
  <c r="H732" i="1"/>
  <c r="O732" i="1"/>
  <c r="H733" i="1"/>
  <c r="O733" i="1"/>
  <c r="H734" i="1"/>
  <c r="O734" i="1"/>
  <c r="H735" i="1"/>
  <c r="O735" i="1"/>
  <c r="H736" i="1"/>
  <c r="O736" i="1"/>
  <c r="H737" i="1"/>
  <c r="O737" i="1"/>
  <c r="H738" i="1"/>
  <c r="O738" i="1"/>
  <c r="H739" i="1"/>
  <c r="O739" i="1"/>
  <c r="H740" i="1"/>
  <c r="O740" i="1"/>
  <c r="H741" i="1"/>
  <c r="O741" i="1"/>
  <c r="H742" i="1"/>
  <c r="O742" i="1"/>
  <c r="H743" i="1"/>
  <c r="O743" i="1"/>
  <c r="H744" i="1"/>
  <c r="O744" i="1"/>
  <c r="H745" i="1"/>
  <c r="O745" i="1"/>
  <c r="H746" i="1"/>
  <c r="O746" i="1"/>
  <c r="H747" i="1"/>
  <c r="O747" i="1"/>
  <c r="H748" i="1"/>
  <c r="O748" i="1"/>
  <c r="H749" i="1"/>
  <c r="O749" i="1"/>
  <c r="H750" i="1"/>
  <c r="O750" i="1"/>
  <c r="H751" i="1"/>
  <c r="O751" i="1"/>
  <c r="H752" i="1"/>
  <c r="O752" i="1"/>
  <c r="H753" i="1"/>
  <c r="O753" i="1"/>
  <c r="H3" i="1"/>
  <c r="O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/>
  <c r="F205" i="1"/>
  <c r="N205" i="1"/>
  <c r="F206" i="1"/>
  <c r="N206" i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/>
  <c r="F247" i="1"/>
  <c r="N247" i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/>
  <c r="F255" i="1"/>
  <c r="N255" i="1"/>
  <c r="F256" i="1"/>
  <c r="N256" i="1"/>
  <c r="F257" i="1"/>
  <c r="N257" i="1"/>
  <c r="F258" i="1"/>
  <c r="N258" i="1"/>
  <c r="F259" i="1"/>
  <c r="N259" i="1"/>
  <c r="F260" i="1"/>
  <c r="N260" i="1"/>
  <c r="F261" i="1"/>
  <c r="N261" i="1"/>
  <c r="F262" i="1"/>
  <c r="N262" i="1"/>
  <c r="F263" i="1"/>
  <c r="N263" i="1"/>
  <c r="F264" i="1"/>
  <c r="N264" i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/>
  <c r="F281" i="1"/>
  <c r="N281" i="1"/>
  <c r="F282" i="1"/>
  <c r="N282" i="1"/>
  <c r="F283" i="1"/>
  <c r="N283" i="1"/>
  <c r="F284" i="1"/>
  <c r="N284" i="1"/>
  <c r="F285" i="1"/>
  <c r="N285" i="1"/>
  <c r="F286" i="1"/>
  <c r="N286" i="1"/>
  <c r="F287" i="1"/>
  <c r="N287" i="1"/>
  <c r="F288" i="1"/>
  <c r="N288" i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/>
  <c r="F297" i="1"/>
  <c r="N297" i="1"/>
  <c r="F298" i="1"/>
  <c r="N298" i="1"/>
  <c r="F299" i="1"/>
  <c r="N299" i="1"/>
  <c r="F300" i="1"/>
  <c r="N300" i="1"/>
  <c r="F301" i="1"/>
  <c r="N301" i="1"/>
  <c r="F302" i="1"/>
  <c r="N302" i="1"/>
  <c r="F303" i="1"/>
  <c r="N303" i="1"/>
  <c r="F304" i="1"/>
  <c r="N304" i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/>
  <c r="F337" i="1"/>
  <c r="N337" i="1"/>
  <c r="F338" i="1"/>
  <c r="N338" i="1"/>
  <c r="F339" i="1"/>
  <c r="N339" i="1"/>
  <c r="F340" i="1"/>
  <c r="N340" i="1"/>
  <c r="F341" i="1"/>
  <c r="N341" i="1"/>
  <c r="F342" i="1"/>
  <c r="N342" i="1"/>
  <c r="F343" i="1"/>
  <c r="N343" i="1"/>
  <c r="F344" i="1"/>
  <c r="N344" i="1"/>
  <c r="F345" i="1"/>
  <c r="N345" i="1"/>
  <c r="F346" i="1"/>
  <c r="N346" i="1"/>
  <c r="F347" i="1"/>
  <c r="N347" i="1"/>
  <c r="F348" i="1"/>
  <c r="N348" i="1"/>
  <c r="F349" i="1"/>
  <c r="N349" i="1"/>
  <c r="F350" i="1"/>
  <c r="N350" i="1"/>
  <c r="F351" i="1"/>
  <c r="N351" i="1"/>
  <c r="F352" i="1"/>
  <c r="N352" i="1"/>
  <c r="F353" i="1"/>
  <c r="N353" i="1"/>
  <c r="F354" i="1"/>
  <c r="N354" i="1"/>
  <c r="F355" i="1"/>
  <c r="N355" i="1"/>
  <c r="F356" i="1"/>
  <c r="N356" i="1"/>
  <c r="F357" i="1"/>
  <c r="N357" i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/>
  <c r="F366" i="1"/>
  <c r="N366" i="1"/>
  <c r="F367" i="1"/>
  <c r="N367" i="1"/>
  <c r="F368" i="1"/>
  <c r="N368" i="1"/>
  <c r="F369" i="1"/>
  <c r="N369" i="1"/>
  <c r="F370" i="1"/>
  <c r="N370" i="1"/>
  <c r="F371" i="1"/>
  <c r="N371" i="1"/>
  <c r="F372" i="1"/>
  <c r="N372" i="1"/>
  <c r="F373" i="1"/>
  <c r="N373" i="1"/>
  <c r="F374" i="1"/>
  <c r="N374" i="1"/>
  <c r="F375" i="1"/>
  <c r="N375" i="1"/>
  <c r="F376" i="1"/>
  <c r="N376" i="1"/>
  <c r="F377" i="1"/>
  <c r="N377" i="1"/>
  <c r="F378" i="1"/>
  <c r="N378" i="1"/>
  <c r="F379" i="1"/>
  <c r="N379" i="1"/>
  <c r="F380" i="1"/>
  <c r="N380" i="1"/>
  <c r="F381" i="1"/>
  <c r="N381" i="1"/>
  <c r="F382" i="1"/>
  <c r="N382" i="1"/>
  <c r="F383" i="1"/>
  <c r="N383" i="1"/>
  <c r="F384" i="1"/>
  <c r="N384" i="1"/>
  <c r="F385" i="1"/>
  <c r="N385" i="1"/>
  <c r="F386" i="1"/>
  <c r="N386" i="1"/>
  <c r="F387" i="1"/>
  <c r="N387" i="1"/>
  <c r="F388" i="1"/>
  <c r="N388" i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/>
  <c r="F397" i="1"/>
  <c r="N397" i="1"/>
  <c r="F398" i="1"/>
  <c r="N398" i="1"/>
  <c r="F399" i="1"/>
  <c r="N399" i="1"/>
  <c r="F400" i="1"/>
  <c r="N400" i="1"/>
  <c r="F401" i="1"/>
  <c r="N401" i="1"/>
  <c r="F402" i="1"/>
  <c r="N402" i="1"/>
  <c r="F403" i="1"/>
  <c r="N403" i="1"/>
  <c r="F404" i="1"/>
  <c r="N404" i="1"/>
  <c r="F405" i="1"/>
  <c r="N405" i="1"/>
  <c r="F406" i="1"/>
  <c r="N406" i="1"/>
  <c r="F407" i="1"/>
  <c r="N407" i="1"/>
  <c r="F408" i="1"/>
  <c r="N408" i="1"/>
  <c r="F409" i="1"/>
  <c r="N409" i="1"/>
  <c r="F410" i="1"/>
  <c r="N410" i="1"/>
  <c r="F411" i="1"/>
  <c r="N411" i="1"/>
  <c r="F412" i="1"/>
  <c r="N412" i="1"/>
  <c r="F413" i="1"/>
  <c r="N413" i="1"/>
  <c r="F414" i="1"/>
  <c r="N414" i="1"/>
  <c r="F415" i="1"/>
  <c r="N415" i="1"/>
  <c r="F416" i="1"/>
  <c r="N416" i="1"/>
  <c r="F417" i="1"/>
  <c r="N417" i="1"/>
  <c r="F418" i="1"/>
  <c r="N418" i="1"/>
  <c r="F419" i="1"/>
  <c r="N419" i="1"/>
  <c r="F420" i="1"/>
  <c r="N420" i="1"/>
  <c r="F421" i="1"/>
  <c r="N421" i="1"/>
  <c r="F422" i="1"/>
  <c r="N422" i="1"/>
  <c r="F423" i="1"/>
  <c r="N423" i="1"/>
  <c r="F424" i="1"/>
  <c r="N424" i="1"/>
  <c r="F425" i="1"/>
  <c r="N425" i="1"/>
  <c r="F426" i="1"/>
  <c r="N426" i="1"/>
  <c r="F427" i="1"/>
  <c r="N427" i="1"/>
  <c r="F428" i="1"/>
  <c r="N428" i="1"/>
  <c r="F429" i="1"/>
  <c r="N429" i="1"/>
  <c r="F430" i="1"/>
  <c r="N430" i="1"/>
  <c r="F431" i="1"/>
  <c r="N431" i="1"/>
  <c r="F432" i="1"/>
  <c r="N432" i="1"/>
  <c r="F433" i="1"/>
  <c r="N433" i="1"/>
  <c r="F434" i="1"/>
  <c r="N434" i="1"/>
  <c r="F435" i="1"/>
  <c r="N435" i="1"/>
  <c r="F436" i="1"/>
  <c r="N436" i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/>
  <c r="F445" i="1"/>
  <c r="N445" i="1"/>
  <c r="F446" i="1"/>
  <c r="N446" i="1"/>
  <c r="F447" i="1"/>
  <c r="N447" i="1"/>
  <c r="F448" i="1"/>
  <c r="N448" i="1"/>
  <c r="F449" i="1"/>
  <c r="N449" i="1"/>
  <c r="F450" i="1"/>
  <c r="N450" i="1"/>
  <c r="F451" i="1"/>
  <c r="N451" i="1"/>
  <c r="F452" i="1"/>
  <c r="N452" i="1"/>
  <c r="F453" i="1"/>
  <c r="N453" i="1"/>
  <c r="F454" i="1"/>
  <c r="N454" i="1"/>
  <c r="F455" i="1"/>
  <c r="N455" i="1"/>
  <c r="F456" i="1"/>
  <c r="N456" i="1"/>
  <c r="F457" i="1"/>
  <c r="N457" i="1"/>
  <c r="F458" i="1"/>
  <c r="N458" i="1"/>
  <c r="F459" i="1"/>
  <c r="N459" i="1"/>
  <c r="F460" i="1"/>
  <c r="N460" i="1"/>
  <c r="F461" i="1"/>
  <c r="N461" i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/>
  <c r="F470" i="1"/>
  <c r="N470" i="1"/>
  <c r="F471" i="1"/>
  <c r="N471" i="1"/>
  <c r="F472" i="1"/>
  <c r="N472" i="1"/>
  <c r="F473" i="1"/>
  <c r="N473" i="1"/>
  <c r="F474" i="1"/>
  <c r="N474" i="1"/>
  <c r="F475" i="1"/>
  <c r="N475" i="1"/>
  <c r="F476" i="1"/>
  <c r="N476" i="1"/>
  <c r="F477" i="1"/>
  <c r="N477" i="1"/>
  <c r="F478" i="1"/>
  <c r="N478" i="1"/>
  <c r="F479" i="1"/>
  <c r="N479" i="1"/>
  <c r="F480" i="1"/>
  <c r="N480" i="1"/>
  <c r="F481" i="1"/>
  <c r="N481" i="1"/>
  <c r="F482" i="1"/>
  <c r="N482" i="1"/>
  <c r="F483" i="1"/>
  <c r="N483" i="1"/>
  <c r="F484" i="1"/>
  <c r="N484" i="1"/>
  <c r="F485" i="1"/>
  <c r="N485" i="1"/>
  <c r="F486" i="1"/>
  <c r="N486" i="1"/>
  <c r="F487" i="1"/>
  <c r="N487" i="1"/>
  <c r="F488" i="1"/>
  <c r="N488" i="1"/>
  <c r="F489" i="1"/>
  <c r="N489" i="1"/>
  <c r="F490" i="1"/>
  <c r="N490" i="1"/>
  <c r="F491" i="1"/>
  <c r="N491" i="1"/>
  <c r="F492" i="1"/>
  <c r="N492" i="1"/>
  <c r="F493" i="1"/>
  <c r="N493" i="1"/>
  <c r="F494" i="1"/>
  <c r="N494" i="1"/>
  <c r="F495" i="1"/>
  <c r="N495" i="1"/>
  <c r="F496" i="1"/>
  <c r="N496" i="1"/>
  <c r="F497" i="1"/>
  <c r="N497" i="1"/>
  <c r="F498" i="1"/>
  <c r="N498" i="1"/>
  <c r="F499" i="1"/>
  <c r="N499" i="1"/>
  <c r="F500" i="1"/>
  <c r="N500" i="1"/>
  <c r="F501" i="1"/>
  <c r="N501" i="1"/>
  <c r="F502" i="1"/>
  <c r="N502" i="1"/>
  <c r="F503" i="1"/>
  <c r="N503" i="1"/>
  <c r="F504" i="1"/>
  <c r="N504" i="1"/>
  <c r="F505" i="1"/>
  <c r="N505" i="1"/>
  <c r="F506" i="1"/>
  <c r="N506" i="1"/>
  <c r="F507" i="1"/>
  <c r="N507" i="1"/>
  <c r="F508" i="1"/>
  <c r="N508" i="1"/>
  <c r="F509" i="1"/>
  <c r="N509" i="1"/>
  <c r="F510" i="1"/>
  <c r="N510" i="1"/>
  <c r="F511" i="1"/>
  <c r="N511" i="1"/>
  <c r="F512" i="1"/>
  <c r="N512" i="1"/>
  <c r="F513" i="1"/>
  <c r="N513" i="1"/>
  <c r="F514" i="1"/>
  <c r="N514" i="1"/>
  <c r="F515" i="1"/>
  <c r="N515" i="1"/>
  <c r="F516" i="1"/>
  <c r="N516" i="1"/>
  <c r="F517" i="1"/>
  <c r="N517" i="1"/>
  <c r="F518" i="1"/>
  <c r="N518" i="1"/>
  <c r="F519" i="1"/>
  <c r="N519" i="1"/>
  <c r="F520" i="1"/>
  <c r="N520" i="1"/>
  <c r="F521" i="1"/>
  <c r="N521" i="1"/>
  <c r="F522" i="1"/>
  <c r="N522" i="1"/>
  <c r="F523" i="1"/>
  <c r="N523" i="1"/>
  <c r="F524" i="1"/>
  <c r="N524" i="1"/>
  <c r="F525" i="1"/>
  <c r="N525" i="1"/>
  <c r="F526" i="1"/>
  <c r="N526" i="1"/>
  <c r="F527" i="1"/>
  <c r="N527" i="1"/>
  <c r="F528" i="1"/>
  <c r="N528" i="1"/>
  <c r="F529" i="1"/>
  <c r="N529" i="1"/>
  <c r="F530" i="1"/>
  <c r="N530" i="1"/>
  <c r="F531" i="1"/>
  <c r="N531" i="1"/>
  <c r="F532" i="1"/>
  <c r="N532" i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/>
  <c r="F541" i="1"/>
  <c r="N541" i="1"/>
  <c r="F542" i="1"/>
  <c r="N542" i="1"/>
  <c r="F543" i="1"/>
  <c r="N543" i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/>
  <c r="F551" i="1"/>
  <c r="N551" i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/>
  <c r="F559" i="1"/>
  <c r="N559" i="1"/>
  <c r="F560" i="1"/>
  <c r="N560" i="1"/>
  <c r="F561" i="1"/>
  <c r="N561" i="1"/>
  <c r="F562" i="1"/>
  <c r="N562" i="1"/>
  <c r="F563" i="1"/>
  <c r="N563" i="1"/>
  <c r="F564" i="1"/>
  <c r="N564" i="1"/>
  <c r="F565" i="1"/>
  <c r="N565" i="1"/>
  <c r="F566" i="1"/>
  <c r="N566" i="1"/>
  <c r="F567" i="1"/>
  <c r="N567" i="1"/>
  <c r="F568" i="1"/>
  <c r="N568" i="1"/>
  <c r="F569" i="1"/>
  <c r="N569" i="1"/>
  <c r="F570" i="1"/>
  <c r="N570" i="1"/>
  <c r="F571" i="1"/>
  <c r="N571" i="1"/>
  <c r="F572" i="1"/>
  <c r="N572" i="1"/>
  <c r="F573" i="1"/>
  <c r="N573" i="1"/>
  <c r="F574" i="1"/>
  <c r="N574" i="1"/>
  <c r="F575" i="1"/>
  <c r="N575" i="1"/>
  <c r="F576" i="1"/>
  <c r="N576" i="1"/>
  <c r="F577" i="1"/>
  <c r="N577" i="1"/>
  <c r="F578" i="1"/>
  <c r="N578" i="1"/>
  <c r="F579" i="1"/>
  <c r="N579" i="1"/>
  <c r="F580" i="1"/>
  <c r="N580" i="1"/>
  <c r="F581" i="1"/>
  <c r="N581" i="1"/>
  <c r="F582" i="1"/>
  <c r="N582" i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/>
  <c r="F590" i="1"/>
  <c r="N590" i="1"/>
  <c r="F591" i="1"/>
  <c r="N591" i="1"/>
  <c r="F592" i="1"/>
  <c r="N592" i="1"/>
  <c r="F593" i="1"/>
  <c r="N593" i="1"/>
  <c r="F594" i="1"/>
  <c r="N594" i="1"/>
  <c r="F595" i="1"/>
  <c r="N595" i="1"/>
  <c r="F596" i="1"/>
  <c r="N596" i="1"/>
  <c r="F597" i="1"/>
  <c r="N597" i="1"/>
  <c r="F598" i="1"/>
  <c r="N598" i="1"/>
  <c r="F599" i="1"/>
  <c r="N599" i="1"/>
  <c r="F600" i="1"/>
  <c r="N600" i="1"/>
  <c r="F601" i="1"/>
  <c r="N601" i="1"/>
  <c r="F602" i="1"/>
  <c r="N602" i="1"/>
  <c r="F603" i="1"/>
  <c r="N603" i="1"/>
  <c r="F604" i="1"/>
  <c r="N604" i="1"/>
  <c r="F605" i="1"/>
  <c r="N605" i="1"/>
  <c r="F606" i="1"/>
  <c r="N606" i="1"/>
  <c r="F607" i="1"/>
  <c r="N607" i="1"/>
  <c r="F608" i="1"/>
  <c r="N608" i="1"/>
  <c r="F609" i="1"/>
  <c r="N609" i="1"/>
  <c r="F610" i="1"/>
  <c r="N610" i="1"/>
  <c r="F611" i="1"/>
  <c r="N611" i="1"/>
  <c r="F612" i="1"/>
  <c r="N612" i="1"/>
  <c r="F613" i="1"/>
  <c r="N613" i="1"/>
  <c r="F614" i="1"/>
  <c r="N614" i="1"/>
  <c r="F615" i="1"/>
  <c r="N615" i="1"/>
  <c r="F616" i="1"/>
  <c r="N616" i="1"/>
  <c r="F617" i="1"/>
  <c r="N617" i="1"/>
  <c r="F618" i="1"/>
  <c r="N618" i="1"/>
  <c r="F619" i="1"/>
  <c r="N619" i="1"/>
  <c r="F620" i="1"/>
  <c r="N620" i="1"/>
  <c r="F621" i="1"/>
  <c r="N621" i="1"/>
  <c r="F622" i="1"/>
  <c r="N622" i="1"/>
  <c r="F623" i="1"/>
  <c r="N623" i="1"/>
  <c r="F624" i="1"/>
  <c r="N624" i="1"/>
  <c r="F625" i="1"/>
  <c r="N625" i="1"/>
  <c r="F626" i="1"/>
  <c r="N626" i="1"/>
  <c r="F627" i="1"/>
  <c r="N627" i="1"/>
  <c r="F628" i="1"/>
  <c r="N628" i="1"/>
  <c r="F629" i="1"/>
  <c r="N629" i="1"/>
  <c r="F630" i="1"/>
  <c r="N630" i="1"/>
  <c r="F631" i="1"/>
  <c r="N631" i="1"/>
  <c r="F632" i="1"/>
  <c r="N632" i="1"/>
  <c r="F633" i="1"/>
  <c r="N633" i="1"/>
  <c r="F634" i="1"/>
  <c r="N634" i="1"/>
  <c r="F635" i="1"/>
  <c r="N635" i="1"/>
  <c r="F636" i="1"/>
  <c r="N636" i="1"/>
  <c r="F637" i="1"/>
  <c r="N637" i="1"/>
  <c r="F638" i="1"/>
  <c r="N638" i="1"/>
  <c r="F639" i="1"/>
  <c r="N639" i="1"/>
  <c r="F640" i="1"/>
  <c r="N640" i="1"/>
  <c r="F641" i="1"/>
  <c r="N641" i="1"/>
  <c r="F642" i="1"/>
  <c r="N642" i="1"/>
  <c r="F643" i="1"/>
  <c r="N643" i="1"/>
  <c r="F644" i="1"/>
  <c r="N644" i="1"/>
  <c r="F645" i="1"/>
  <c r="N645" i="1"/>
  <c r="F646" i="1"/>
  <c r="N646" i="1"/>
  <c r="F647" i="1"/>
  <c r="N647" i="1"/>
  <c r="F648" i="1"/>
  <c r="N648" i="1"/>
  <c r="F649" i="1"/>
  <c r="N649" i="1"/>
  <c r="F650" i="1"/>
  <c r="N650" i="1"/>
  <c r="F651" i="1"/>
  <c r="N651" i="1"/>
  <c r="F652" i="1"/>
  <c r="N652" i="1"/>
  <c r="F653" i="1"/>
  <c r="N653" i="1"/>
  <c r="F654" i="1"/>
  <c r="N654" i="1"/>
  <c r="F655" i="1"/>
  <c r="N655" i="1"/>
  <c r="F656" i="1"/>
  <c r="N656" i="1"/>
  <c r="F657" i="1"/>
  <c r="N657" i="1"/>
  <c r="F658" i="1"/>
  <c r="N658" i="1"/>
  <c r="F659" i="1"/>
  <c r="N659" i="1"/>
  <c r="F660" i="1"/>
  <c r="N660" i="1"/>
  <c r="F661" i="1"/>
  <c r="N661" i="1"/>
  <c r="F662" i="1"/>
  <c r="N662" i="1"/>
  <c r="F663" i="1"/>
  <c r="N663" i="1"/>
  <c r="F664" i="1"/>
  <c r="N664" i="1"/>
  <c r="F665" i="1"/>
  <c r="N665" i="1"/>
  <c r="F666" i="1"/>
  <c r="N666" i="1"/>
  <c r="F667" i="1"/>
  <c r="N667" i="1"/>
  <c r="F668" i="1"/>
  <c r="N668" i="1"/>
  <c r="F669" i="1"/>
  <c r="N669" i="1"/>
  <c r="F670" i="1"/>
  <c r="N670" i="1"/>
  <c r="F671" i="1"/>
  <c r="N671" i="1"/>
  <c r="F672" i="1"/>
  <c r="N672" i="1"/>
  <c r="F673" i="1"/>
  <c r="N673" i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/>
  <c r="F681" i="1"/>
  <c r="N681" i="1"/>
  <c r="F682" i="1"/>
  <c r="N682" i="1"/>
  <c r="F683" i="1"/>
  <c r="N683" i="1"/>
  <c r="F684" i="1"/>
  <c r="N684" i="1"/>
  <c r="F685" i="1"/>
  <c r="N685" i="1"/>
  <c r="F686" i="1"/>
  <c r="N686" i="1"/>
  <c r="F687" i="1"/>
  <c r="N687" i="1"/>
  <c r="F688" i="1"/>
  <c r="N688" i="1"/>
  <c r="F689" i="1"/>
  <c r="N689" i="1"/>
  <c r="F690" i="1"/>
  <c r="N690" i="1"/>
  <c r="F691" i="1"/>
  <c r="N691" i="1"/>
  <c r="F692" i="1"/>
  <c r="N692" i="1"/>
  <c r="F693" i="1"/>
  <c r="N693" i="1"/>
  <c r="F694" i="1"/>
  <c r="N694" i="1"/>
  <c r="F695" i="1"/>
  <c r="N695" i="1"/>
  <c r="F696" i="1"/>
  <c r="N696" i="1"/>
  <c r="F697" i="1"/>
  <c r="N697" i="1"/>
  <c r="F698" i="1"/>
  <c r="N698" i="1"/>
  <c r="F699" i="1"/>
  <c r="N699" i="1"/>
  <c r="F700" i="1"/>
  <c r="N700" i="1"/>
  <c r="F701" i="1"/>
  <c r="N701" i="1"/>
  <c r="F702" i="1"/>
  <c r="N702" i="1"/>
  <c r="F703" i="1"/>
  <c r="N703" i="1"/>
  <c r="F704" i="1"/>
  <c r="N704" i="1"/>
  <c r="F705" i="1"/>
  <c r="N705" i="1"/>
  <c r="F706" i="1"/>
  <c r="N706" i="1"/>
  <c r="F707" i="1"/>
  <c r="N707" i="1"/>
  <c r="F708" i="1"/>
  <c r="N708" i="1"/>
  <c r="F709" i="1"/>
  <c r="N709" i="1"/>
  <c r="F710" i="1"/>
  <c r="N710" i="1"/>
  <c r="F711" i="1"/>
  <c r="N711" i="1"/>
  <c r="F712" i="1"/>
  <c r="N712" i="1"/>
  <c r="F713" i="1"/>
  <c r="N713" i="1"/>
  <c r="F714" i="1"/>
  <c r="N714" i="1"/>
  <c r="F715" i="1"/>
  <c r="N715" i="1"/>
  <c r="F716" i="1"/>
  <c r="N716" i="1"/>
  <c r="F717" i="1"/>
  <c r="N717" i="1"/>
  <c r="F718" i="1"/>
  <c r="N718" i="1"/>
  <c r="F719" i="1"/>
  <c r="N719" i="1"/>
  <c r="F720" i="1"/>
  <c r="N720" i="1"/>
  <c r="F721" i="1"/>
  <c r="N721" i="1"/>
  <c r="F722" i="1"/>
  <c r="N722" i="1"/>
  <c r="F723" i="1"/>
  <c r="N723" i="1"/>
  <c r="F724" i="1"/>
  <c r="N724" i="1"/>
  <c r="F725" i="1"/>
  <c r="N725" i="1"/>
  <c r="F726" i="1"/>
  <c r="N726" i="1"/>
  <c r="F727" i="1"/>
  <c r="N727" i="1"/>
  <c r="F728" i="1"/>
  <c r="N728" i="1"/>
  <c r="F729" i="1"/>
  <c r="N729" i="1"/>
  <c r="F730" i="1"/>
  <c r="N730" i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/>
  <c r="F739" i="1"/>
  <c r="N739" i="1"/>
  <c r="F740" i="1"/>
  <c r="N740" i="1"/>
  <c r="F741" i="1"/>
  <c r="N741" i="1"/>
  <c r="F742" i="1"/>
  <c r="N742" i="1"/>
  <c r="F743" i="1"/>
  <c r="N743" i="1"/>
  <c r="F744" i="1"/>
  <c r="N744" i="1"/>
  <c r="F745" i="1"/>
  <c r="N745" i="1"/>
  <c r="F746" i="1"/>
  <c r="N746" i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/>
  <c r="F3" i="1"/>
  <c r="N3" i="1"/>
  <c r="S27" i="1"/>
  <c r="T2" i="1"/>
  <c r="T5" i="1"/>
  <c r="T4" i="1"/>
  <c r="S2" i="1"/>
  <c r="U15" i="1"/>
  <c r="S9" i="1"/>
  <c r="S15" i="1"/>
  <c r="T15" i="1"/>
  <c r="U9" i="1"/>
  <c r="T9" i="1"/>
  <c r="V5" i="1"/>
  <c r="U2" i="1"/>
  <c r="V2" i="1"/>
  <c r="U5" i="1"/>
  <c r="S5" i="1"/>
  <c r="W5" i="1"/>
  <c r="S21" i="1"/>
  <c r="S16" i="1"/>
  <c r="U16" i="1"/>
  <c r="T10" i="1"/>
  <c r="T16" i="1"/>
  <c r="U10" i="1"/>
  <c r="S10" i="1"/>
  <c r="U17" i="1"/>
  <c r="U11" i="1"/>
  <c r="T17" i="1"/>
  <c r="S17" i="1"/>
  <c r="T11" i="1"/>
  <c r="S11" i="1"/>
  <c r="S4" i="1"/>
  <c r="V4" i="1"/>
  <c r="U4" i="1"/>
  <c r="S3" i="1"/>
  <c r="U24" i="1"/>
  <c r="T3" i="1"/>
  <c r="V3" i="1"/>
  <c r="U3" i="1"/>
  <c r="W24" i="1"/>
  <c r="W25" i="1"/>
</calcChain>
</file>

<file path=xl/sharedStrings.xml><?xml version="1.0" encoding="utf-8"?>
<sst xmlns="http://schemas.openxmlformats.org/spreadsheetml/2006/main" count="214" uniqueCount="61">
  <si>
    <t>Date</t>
  </si>
  <si>
    <t>Adj Close (KO)</t>
  </si>
  <si>
    <t>Adj Close(JPM)</t>
  </si>
  <si>
    <t>Adj Close(NVIDIA)</t>
  </si>
  <si>
    <t>Adj Close(S&amp;P500)</t>
  </si>
  <si>
    <t>D Return (KO)</t>
  </si>
  <si>
    <t>D Returns (NVIDIA)</t>
  </si>
  <si>
    <t>D Returns (S&amp;P500)</t>
  </si>
  <si>
    <t>JPM</t>
  </si>
  <si>
    <t>KO</t>
  </si>
  <si>
    <t>NVIDIA</t>
  </si>
  <si>
    <t>S&amp;P 500</t>
  </si>
  <si>
    <t>D Returns (JPM)</t>
  </si>
  <si>
    <t>Avg. Returns</t>
  </si>
  <si>
    <t>G. Mean</t>
  </si>
  <si>
    <t>Variance</t>
  </si>
  <si>
    <t>Std.Deviation</t>
  </si>
  <si>
    <t>Correlation Matrix</t>
  </si>
  <si>
    <t>Annualized Market Return</t>
  </si>
  <si>
    <t>Market Risk Premium</t>
  </si>
  <si>
    <t>Rf</t>
  </si>
  <si>
    <t xml:space="preserve">Weights </t>
  </si>
  <si>
    <t>Portfolio Return</t>
  </si>
  <si>
    <t>Portfolio Risk</t>
  </si>
  <si>
    <t>Variance-Covariance Matrix</t>
  </si>
  <si>
    <t>HML</t>
  </si>
  <si>
    <t>SMB</t>
  </si>
  <si>
    <t>Mkt-RF</t>
  </si>
  <si>
    <t>RF</t>
  </si>
  <si>
    <t>Excess Return on JPM</t>
  </si>
  <si>
    <t>Excess Return on Nvidia</t>
  </si>
  <si>
    <t>Exceess Return on KO</t>
  </si>
  <si>
    <t>Excess Return on SNP500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</si>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</sst>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0000%"/>
    <numFmt numFmtId="165" formatCode="0.0000E+00"/>
    <numFmt numFmtId="166" formatCode="0.0000%"/>
    <numFmt numFmtId="167" formatCode="0.000000000000000%"/>
    <numFmt numFmtId="168" formatCode="\ \ \ \ 0.00"/>
    <numFmt numFmtId="169" formatCode="\ \ \ \ 0.##"/>
    <numFmt numFmtId="170" formatCode="\ \ \ 0.##"/>
    <numFmt numFmtId="171" formatCode="\ \ \ 0.00"/>
    <numFmt numFmtId="172" formatCode="\ \ \ \ #.##"/>
    <numFmt numFmtId="173" formatCode="\ \ \ #.00"/>
    <numFmt numFmtId="174" formatCode="\ \ \ #.##"/>
    <numFmt numFmtId="175" formatCode="\ \ \ \ #.00"/>
    <numFmt numFmtId="176" formatCode="\ \ #.##"/>
    <numFmt numFmtId="177" formatCode="\ \ \ 0.###"/>
    <numFmt numFmtId="178" formatCode="\ \ \ 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5" fontId="0" fillId="0" borderId="0" xfId="0" applyNumberFormat="1"/>
    <xf numFmtId="4" fontId="0" fillId="0" borderId="0" xfId="0" applyNumberFormat="1"/>
    <xf numFmtId="164" fontId="0" fillId="0" borderId="0" xfId="1" applyNumberFormat="1" applyFont="1"/>
    <xf numFmtId="0" fontId="2" fillId="0" borderId="0" xfId="0" applyFont="1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173" fontId="0" fillId="0" borderId="0" xfId="0" applyNumberFormat="1" applyAlignment="1">
      <alignment vertical="center"/>
    </xf>
    <xf numFmtId="174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65"/>
  <sheetViews>
    <sheetView topLeftCell="H677" zoomScale="85" zoomScaleNormal="85" workbookViewId="0">
      <selection activeCell="Q1" sqref="Q1"/>
    </sheetView>
  </sheetViews>
  <sheetFormatPr defaultRowHeight="15" x14ac:dyDescent="0.2"/>
  <cols>
    <col min="1" max="1" width="10.0859375" bestFit="1" customWidth="1"/>
    <col min="2" max="2" width="12.64453125" customWidth="1"/>
    <col min="3" max="3" width="13.5859375" customWidth="1"/>
    <col min="4" max="4" width="14.52734375" customWidth="1"/>
    <col min="5" max="6" width="15.87109375" customWidth="1"/>
    <col min="7" max="7" width="12.9140625" customWidth="1"/>
    <col min="8" max="8" width="20.04296875" customWidth="1"/>
    <col min="9" max="9" width="18.5625" customWidth="1"/>
    <col min="14" max="14" width="21.5234375" customWidth="1"/>
    <col min="15" max="15" width="22.46484375" customWidth="1"/>
    <col min="16" max="16" width="21.25390625" customWidth="1"/>
    <col min="17" max="17" width="27.7109375" customWidth="1"/>
    <col min="19" max="19" width="12.9140625" customWidth="1"/>
    <col min="20" max="21" width="12.23828125" bestFit="1" customWidth="1"/>
    <col min="22" max="22" width="13.1796875" customWidth="1"/>
    <col min="23" max="23" width="17.21875" customWidth="1"/>
  </cols>
  <sheetData>
    <row r="1" spans="1:23" s="4" customFormat="1" x14ac:dyDescent="0.15">
      <c r="A1" s="4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12</v>
      </c>
      <c r="G1" s="4" t="s">
        <v>5</v>
      </c>
      <c r="H1" s="4" t="s">
        <v>6</v>
      </c>
      <c r="I1" s="4" t="s">
        <v>7</v>
      </c>
      <c r="J1" s="10" t="s">
        <v>27</v>
      </c>
      <c r="K1" s="10" t="s">
        <v>26</v>
      </c>
      <c r="L1" s="10" t="s">
        <v>25</v>
      </c>
      <c r="M1" s="10" t="s">
        <v>28</v>
      </c>
      <c r="N1" s="22" t="s">
        <v>29</v>
      </c>
      <c r="O1" s="22" t="s">
        <v>30</v>
      </c>
      <c r="P1" s="22" t="s">
        <v>31</v>
      </c>
      <c r="Q1" s="22" t="s">
        <v>32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18</v>
      </c>
    </row>
    <row r="2" spans="1:23" x14ac:dyDescent="0.2">
      <c r="A2" s="1">
        <v>44564</v>
      </c>
      <c r="B2">
        <v>147</v>
      </c>
      <c r="C2">
        <v>53.78</v>
      </c>
      <c r="D2">
        <v>30.07</v>
      </c>
      <c r="E2" s="2">
        <v>4796.5600000000004</v>
      </c>
      <c r="F2" s="2"/>
      <c r="J2" s="11">
        <v>0.1</v>
      </c>
      <c r="K2" s="13">
        <v>-0.25</v>
      </c>
      <c r="L2" s="13">
        <v>-0.27</v>
      </c>
      <c r="M2" s="20">
        <v>8.9999999999999993E-3</v>
      </c>
      <c r="N2" s="20"/>
      <c r="O2" s="20"/>
      <c r="P2" s="20"/>
      <c r="Q2" s="20"/>
      <c r="R2" t="s">
        <v>8</v>
      </c>
      <c r="S2" s="3">
        <f>AVERAGE(F:F)</f>
        <v>7.5753869737686533E-4</v>
      </c>
      <c r="T2">
        <f>(1+F:F)-1</f>
        <v>0</v>
      </c>
      <c r="U2">
        <f>_xlfn.VAR.P(F3:F753)</f>
        <v>2.478378633999932E-4</v>
      </c>
      <c r="V2">
        <f>_xlfn.STDEV.P(F:F)</f>
        <v>1.5742867064165701E-2</v>
      </c>
    </row>
    <row r="3" spans="1:23" x14ac:dyDescent="0.2">
      <c r="A3" s="1">
        <v>44565</v>
      </c>
      <c r="B3">
        <v>152.57</v>
      </c>
      <c r="C3">
        <v>54.68</v>
      </c>
      <c r="D3">
        <v>29.24</v>
      </c>
      <c r="E3" s="2">
        <v>4793.54</v>
      </c>
      <c r="F3" s="3">
        <f>(B3/B2)-1</f>
        <v>3.7891156462585007E-2</v>
      </c>
      <c r="G3" s="3">
        <f>(C3/C2)-1</f>
        <v>1.673484566753447E-2</v>
      </c>
      <c r="H3" s="3">
        <f>(D3/D2)-1</f>
        <v>-2.7602261390089811E-2</v>
      </c>
      <c r="I3" s="3">
        <f>(E3/E2)-1</f>
        <v>-6.29617892823231E-4</v>
      </c>
      <c r="J3" s="12">
        <v>0.45</v>
      </c>
      <c r="K3" s="13">
        <v>-0.33</v>
      </c>
      <c r="L3" s="13">
        <v>-0.06</v>
      </c>
      <c r="M3" s="20">
        <v>8.9999999999999993E-3</v>
      </c>
      <c r="N3" s="20">
        <f>F3-M3</f>
        <v>2.8891156462585006E-2</v>
      </c>
      <c r="O3" s="20">
        <f>H3-M3</f>
        <v>-3.6602261390089812E-2</v>
      </c>
      <c r="P3" s="20">
        <f>G3-M3</f>
        <v>7.734845667534471E-3</v>
      </c>
      <c r="Q3" s="20">
        <f>I3-M3</f>
        <v>-9.6296178928232303E-3</v>
      </c>
      <c r="R3" t="s">
        <v>9</v>
      </c>
      <c r="S3" s="3">
        <f>AVERAGE(G3:G753)</f>
        <v>2.28954152235907E-4</v>
      </c>
      <c r="T3">
        <f>(1+G:G)-1</f>
        <v>1.673484566753447E-2</v>
      </c>
      <c r="U3">
        <f>_xlfn.VAR.P(G3:G753)</f>
        <v>9.6828323378223629E-5</v>
      </c>
      <c r="V3">
        <f>_xlfn.STDEV.P(G:G)</f>
        <v>9.8401383820667706E-3</v>
      </c>
    </row>
    <row r="4" spans="1:23" x14ac:dyDescent="0.2">
      <c r="A4" s="1">
        <v>44566</v>
      </c>
      <c r="B4">
        <v>149.78</v>
      </c>
      <c r="C4">
        <v>55.13</v>
      </c>
      <c r="D4">
        <v>27.56</v>
      </c>
      <c r="E4" s="2">
        <v>4700.58</v>
      </c>
      <c r="F4" s="3">
        <f t="shared" ref="F4:F67" si="0">(B4/B3)-1</f>
        <v>-1.8286688077603697E-2</v>
      </c>
      <c r="G4" s="3">
        <f t="shared" ref="G4:G67" si="1">(C4/C3)-1</f>
        <v>8.2297000731530456E-3</v>
      </c>
      <c r="H4" s="3">
        <f t="shared" ref="H4:H67" si="2">(D4/D3)-1</f>
        <v>-5.7455540355677126E-2</v>
      </c>
      <c r="I4" s="3">
        <f t="shared" ref="I4:I67" si="3">(E4/E3)-1</f>
        <v>-1.939276609770646E-2</v>
      </c>
      <c r="J4" s="12">
        <v>0.17</v>
      </c>
      <c r="K4" s="11">
        <v>0.3</v>
      </c>
      <c r="L4" s="13">
        <v>-0.39</v>
      </c>
      <c r="M4" s="20">
        <v>8.9999999999999993E-3</v>
      </c>
      <c r="N4" s="20">
        <f t="shared" ref="N4:N67" si="4">F4-M4</f>
        <v>-2.7286688077603698E-2</v>
      </c>
      <c r="O4" s="20">
        <f t="shared" ref="O4:O67" si="5">H4-M4</f>
        <v>-6.645554035567712E-2</v>
      </c>
      <c r="P4" s="20">
        <f t="shared" ref="P4:P67" si="6">G4-M4</f>
        <v>-7.7029992684695368E-4</v>
      </c>
      <c r="Q4" s="20">
        <f t="shared" ref="Q4:Q67" si="7">I4-M4</f>
        <v>-2.8392766097706461E-2</v>
      </c>
      <c r="R4" t="s">
        <v>10</v>
      </c>
      <c r="S4" s="3">
        <f>AVERAGE(H3:H753)</f>
        <v>2.6228431605567469E-3</v>
      </c>
      <c r="T4">
        <f>(1+H:H)-1</f>
        <v>-5.7455540355677126E-2</v>
      </c>
      <c r="U4">
        <f>_xlfn.VAR.P(H:H)</f>
        <v>1.2117077234701657E-3</v>
      </c>
      <c r="V4">
        <f>_xlfn.STDEV.P(H:H)</f>
        <v>3.4809592405975767E-2</v>
      </c>
    </row>
    <row r="5" spans="1:23" x14ac:dyDescent="0.2">
      <c r="A5" s="1">
        <v>44567</v>
      </c>
      <c r="B5">
        <v>151.37</v>
      </c>
      <c r="C5">
        <v>54.84</v>
      </c>
      <c r="D5">
        <v>28.13</v>
      </c>
      <c r="E5" s="2">
        <v>4696.05</v>
      </c>
      <c r="F5" s="3">
        <f t="shared" si="0"/>
        <v>1.0615569501936095E-2</v>
      </c>
      <c r="G5" s="3">
        <f t="shared" si="1"/>
        <v>-5.2602938508978792E-3</v>
      </c>
      <c r="H5" s="3">
        <f t="shared" si="2"/>
        <v>2.0682148040638726E-2</v>
      </c>
      <c r="I5" s="3">
        <f t="shared" si="3"/>
        <v>-9.6371086121282978E-4</v>
      </c>
      <c r="J5" s="12">
        <v>0.09</v>
      </c>
      <c r="K5" s="13">
        <v>-0.57999999999999996</v>
      </c>
      <c r="L5" s="12">
        <v>0.02</v>
      </c>
      <c r="M5" s="20">
        <v>8.9999999999999993E-3</v>
      </c>
      <c r="N5" s="20">
        <f t="shared" si="4"/>
        <v>1.6155695019360958E-3</v>
      </c>
      <c r="O5" s="20">
        <f t="shared" si="5"/>
        <v>1.1682148040638727E-2</v>
      </c>
      <c r="P5" s="20">
        <f t="shared" si="6"/>
        <v>-1.4260293850897878E-2</v>
      </c>
      <c r="Q5" s="20">
        <f t="shared" si="7"/>
        <v>-9.9637108612128291E-3</v>
      </c>
      <c r="R5" t="s">
        <v>11</v>
      </c>
      <c r="S5" s="3">
        <f>AVERAGE(I3:I753)</f>
        <v>3.3811647462867503E-4</v>
      </c>
      <c r="T5">
        <f>(1+I:I)-1</f>
        <v>-9.6371086121282978E-4</v>
      </c>
      <c r="U5">
        <f>_xlfn.VAR.P(I:I)</f>
        <v>1.2148410641081208E-4</v>
      </c>
      <c r="V5">
        <f>_xlfn.STDEV.P(I:I)</f>
        <v>1.1021982871099558E-2</v>
      </c>
      <c r="W5" s="6">
        <f>((S5+1)^365-1)</f>
        <v>0.13132742314507317</v>
      </c>
    </row>
    <row r="6" spans="1:23" x14ac:dyDescent="0.2">
      <c r="A6" s="1">
        <v>44568</v>
      </c>
      <c r="B6">
        <v>152.87</v>
      </c>
      <c r="C6">
        <v>54.72</v>
      </c>
      <c r="D6">
        <v>27.2</v>
      </c>
      <c r="E6" s="2">
        <v>4677.03</v>
      </c>
      <c r="F6" s="3">
        <f t="shared" si="0"/>
        <v>9.9094932945762437E-3</v>
      </c>
      <c r="G6" s="3">
        <f t="shared" si="1"/>
        <v>-2.1881838074399029E-3</v>
      </c>
      <c r="H6" s="3">
        <f t="shared" si="2"/>
        <v>-3.3060789193032347E-2</v>
      </c>
      <c r="I6" s="3">
        <f t="shared" si="3"/>
        <v>-4.0502124125595396E-3</v>
      </c>
      <c r="J6" s="12">
        <v>0.21</v>
      </c>
      <c r="K6" s="13">
        <v>-0.38</v>
      </c>
      <c r="L6" s="12">
        <v>0.19</v>
      </c>
      <c r="M6" s="20">
        <v>8.9999999999999993E-3</v>
      </c>
      <c r="N6" s="20">
        <f t="shared" si="4"/>
        <v>9.0949329457624441E-4</v>
      </c>
      <c r="O6" s="20">
        <f t="shared" si="5"/>
        <v>-4.2060789193032348E-2</v>
      </c>
      <c r="P6" s="20">
        <f t="shared" si="6"/>
        <v>-1.1188183807439902E-2</v>
      </c>
      <c r="Q6" s="20">
        <f t="shared" si="7"/>
        <v>-1.3050212412559539E-2</v>
      </c>
    </row>
    <row r="7" spans="1:23" x14ac:dyDescent="0.2">
      <c r="A7" s="1">
        <v>44571</v>
      </c>
      <c r="B7">
        <v>153.02000000000001</v>
      </c>
      <c r="C7">
        <v>54.81</v>
      </c>
      <c r="D7">
        <v>27.35</v>
      </c>
      <c r="E7" s="2">
        <v>4670.29</v>
      </c>
      <c r="F7" s="3">
        <f t="shared" si="0"/>
        <v>9.8122587819715612E-4</v>
      </c>
      <c r="G7" s="3">
        <f t="shared" si="1"/>
        <v>1.6447368421053099E-3</v>
      </c>
      <c r="H7" s="3">
        <f t="shared" si="2"/>
        <v>5.5147058823530326E-3</v>
      </c>
      <c r="I7" s="3">
        <f t="shared" si="3"/>
        <v>-1.4410854751839564E-3</v>
      </c>
      <c r="J7" s="13">
        <v>-0.71</v>
      </c>
      <c r="K7" s="12">
        <v>0.43</v>
      </c>
      <c r="L7" s="12">
        <v>0.56999999999999995</v>
      </c>
      <c r="M7" s="20">
        <v>8.9999999999999993E-3</v>
      </c>
      <c r="N7" s="20">
        <f t="shared" si="4"/>
        <v>-8.0187741218028432E-3</v>
      </c>
      <c r="O7" s="20">
        <f t="shared" si="5"/>
        <v>-3.4852941176469667E-3</v>
      </c>
      <c r="P7" s="20">
        <f t="shared" si="6"/>
        <v>-7.3552631578946894E-3</v>
      </c>
      <c r="Q7" s="20">
        <f t="shared" si="7"/>
        <v>-1.0441085475183956E-2</v>
      </c>
      <c r="R7" t="s">
        <v>24</v>
      </c>
    </row>
    <row r="8" spans="1:23" x14ac:dyDescent="0.2">
      <c r="A8" s="1">
        <v>44572</v>
      </c>
      <c r="B8">
        <v>153.16999999999999</v>
      </c>
      <c r="C8">
        <v>54.83</v>
      </c>
      <c r="D8">
        <v>27.77</v>
      </c>
      <c r="E8" s="2">
        <v>4713.07</v>
      </c>
      <c r="F8" s="3">
        <f t="shared" si="0"/>
        <v>9.8026401777540073E-4</v>
      </c>
      <c r="G8" s="3">
        <f t="shared" si="1"/>
        <v>3.6489691662100476E-4</v>
      </c>
      <c r="H8" s="3">
        <f t="shared" si="2"/>
        <v>1.5356489945155261E-2</v>
      </c>
      <c r="I8" s="3">
        <f t="shared" si="3"/>
        <v>9.1600307475552256E-3</v>
      </c>
      <c r="J8" s="12">
        <v>0.62</v>
      </c>
      <c r="K8" s="13">
        <v>-0.53</v>
      </c>
      <c r="L8" s="14">
        <v>-0.1</v>
      </c>
      <c r="M8" s="20">
        <v>8.9999999999999993E-3</v>
      </c>
      <c r="N8" s="20">
        <f t="shared" si="4"/>
        <v>-8.0197359822245986E-3</v>
      </c>
      <c r="O8" s="20">
        <f t="shared" si="5"/>
        <v>6.3564899451552612E-3</v>
      </c>
      <c r="P8" s="20">
        <f t="shared" si="6"/>
        <v>-8.6351030833789946E-3</v>
      </c>
      <c r="Q8" s="20">
        <f t="shared" si="7"/>
        <v>1.600307475552263E-4</v>
      </c>
      <c r="S8" t="s">
        <v>8</v>
      </c>
      <c r="T8" t="s">
        <v>9</v>
      </c>
      <c r="U8" t="s">
        <v>10</v>
      </c>
      <c r="W8" s="8"/>
    </row>
    <row r="9" spans="1:23" x14ac:dyDescent="0.2">
      <c r="A9" s="1">
        <v>44573</v>
      </c>
      <c r="B9">
        <v>154.04</v>
      </c>
      <c r="C9">
        <v>54.91</v>
      </c>
      <c r="D9">
        <v>27.95</v>
      </c>
      <c r="E9" s="2">
        <v>4726.3500000000004</v>
      </c>
      <c r="F9" s="3">
        <f t="shared" si="0"/>
        <v>5.6799634393158716E-3</v>
      </c>
      <c r="G9" s="3">
        <f t="shared" si="1"/>
        <v>1.4590552617179675E-3</v>
      </c>
      <c r="H9" s="3">
        <f t="shared" si="2"/>
        <v>6.4818149081742327E-3</v>
      </c>
      <c r="I9" s="3">
        <f t="shared" si="3"/>
        <v>2.8176963210817529E-3</v>
      </c>
      <c r="J9" s="12">
        <v>0.04</v>
      </c>
      <c r="K9" s="13">
        <v>-0.03</v>
      </c>
      <c r="L9" s="12">
        <v>0.64</v>
      </c>
      <c r="M9" s="20">
        <v>8.9999999999999993E-3</v>
      </c>
      <c r="N9" s="20">
        <f t="shared" si="4"/>
        <v>-3.3200365606841278E-3</v>
      </c>
      <c r="O9" s="20">
        <f t="shared" si="5"/>
        <v>-2.5181850918257666E-3</v>
      </c>
      <c r="P9" s="20">
        <f t="shared" si="6"/>
        <v>-7.5409447382820318E-3</v>
      </c>
      <c r="Q9" s="20">
        <f t="shared" si="7"/>
        <v>-6.1823036789182464E-3</v>
      </c>
      <c r="R9" t="s">
        <v>8</v>
      </c>
      <c r="S9">
        <f>_xlfn.VAR.P(F:F,F:F)</f>
        <v>2.4783786339999358E-4</v>
      </c>
      <c r="T9">
        <f>COVAR(F:F,G:G)</f>
        <v>4.4844670040023241E-5</v>
      </c>
      <c r="U9">
        <f>COVAR(F:F,H:H)</f>
        <v>1.7932914825511193E-4</v>
      </c>
    </row>
    <row r="10" spans="1:23" x14ac:dyDescent="0.2">
      <c r="A10" s="1">
        <v>44574</v>
      </c>
      <c r="B10">
        <v>153.85</v>
      </c>
      <c r="C10">
        <v>55.23</v>
      </c>
      <c r="D10">
        <v>26.53</v>
      </c>
      <c r="E10" s="2">
        <v>4659.03</v>
      </c>
      <c r="F10" s="3">
        <f t="shared" si="0"/>
        <v>-1.233445858218607E-3</v>
      </c>
      <c r="G10" s="3">
        <f t="shared" si="1"/>
        <v>5.8277180841377341E-3</v>
      </c>
      <c r="H10" s="3">
        <f t="shared" si="2"/>
        <v>-5.0805008944543761E-2</v>
      </c>
      <c r="I10" s="3">
        <f t="shared" si="3"/>
        <v>-1.4243549462058636E-2</v>
      </c>
      <c r="J10" s="12">
        <v>0.48</v>
      </c>
      <c r="K10" s="13">
        <v>-0.28000000000000003</v>
      </c>
      <c r="L10" s="14">
        <v>-0.2</v>
      </c>
      <c r="M10" s="20">
        <v>8.9999999999999993E-3</v>
      </c>
      <c r="N10" s="20">
        <f t="shared" si="4"/>
        <v>-1.0233445858218606E-2</v>
      </c>
      <c r="O10" s="20">
        <f t="shared" si="5"/>
        <v>-5.9805008944543762E-2</v>
      </c>
      <c r="P10" s="20">
        <f t="shared" si="6"/>
        <v>-3.1722819158622653E-3</v>
      </c>
      <c r="Q10" s="20">
        <f t="shared" si="7"/>
        <v>-2.3243549462058637E-2</v>
      </c>
      <c r="R10" t="s">
        <v>9</v>
      </c>
      <c r="S10" s="5">
        <f>COVAR(G:G,F:F)</f>
        <v>4.4844670040023241E-5</v>
      </c>
      <c r="T10">
        <f>_xlfn.VAR.P(G:G,G:G)</f>
        <v>9.6828323378223642E-5</v>
      </c>
      <c r="U10">
        <f>COVAR(G:G,H:H)</f>
        <v>3.0231947457500384E-5</v>
      </c>
    </row>
    <row r="11" spans="1:23" x14ac:dyDescent="0.2">
      <c r="A11" s="1">
        <v>44575</v>
      </c>
      <c r="B11">
        <v>144.38999999999999</v>
      </c>
      <c r="C11">
        <v>55.68</v>
      </c>
      <c r="D11">
        <v>26.89</v>
      </c>
      <c r="E11" s="2">
        <v>4662.8500000000004</v>
      </c>
      <c r="F11" s="3">
        <f t="shared" si="0"/>
        <v>-6.1488462788430343E-2</v>
      </c>
      <c r="G11" s="3">
        <f t="shared" si="1"/>
        <v>8.1477457903313955E-3</v>
      </c>
      <c r="H11" s="3">
        <f t="shared" si="2"/>
        <v>1.3569543912551829E-2</v>
      </c>
      <c r="I11" s="3">
        <f t="shared" si="3"/>
        <v>8.1991315788920716E-4</v>
      </c>
      <c r="J11" s="12">
        <v>0.04</v>
      </c>
      <c r="K11" s="12">
        <v>7.0000000000000007E-2</v>
      </c>
      <c r="L11" s="13">
        <v>-0.43</v>
      </c>
      <c r="M11" s="20">
        <v>8.9999999999999993E-3</v>
      </c>
      <c r="N11" s="20">
        <f t="shared" si="4"/>
        <v>-7.0488462788430337E-2</v>
      </c>
      <c r="O11" s="20">
        <f t="shared" si="5"/>
        <v>4.5695439125518298E-3</v>
      </c>
      <c r="P11" s="20">
        <f t="shared" si="6"/>
        <v>-8.5225420966860387E-4</v>
      </c>
      <c r="Q11" s="20">
        <f t="shared" si="7"/>
        <v>-8.1800868421107922E-3</v>
      </c>
      <c r="R11" t="s">
        <v>10</v>
      </c>
      <c r="S11">
        <f>COVAR(H:H,F:F)</f>
        <v>1.7932914825511193E-4</v>
      </c>
      <c r="T11">
        <f>COVAR(H:H,G:G)</f>
        <v>3.0231947457500384E-5</v>
      </c>
      <c r="U11">
        <f>_xlfn.VAR.P(H:H,H:H)</f>
        <v>1.2117077234701649E-3</v>
      </c>
    </row>
    <row r="12" spans="1:23" x14ac:dyDescent="0.2">
      <c r="A12" s="1">
        <v>44579</v>
      </c>
      <c r="B12">
        <v>138.34</v>
      </c>
      <c r="C12">
        <v>55.23</v>
      </c>
      <c r="D12">
        <v>25.86</v>
      </c>
      <c r="E12" s="2">
        <v>4577.1099999999997</v>
      </c>
      <c r="F12" s="3">
        <f t="shared" si="0"/>
        <v>-4.1900408615554996E-2</v>
      </c>
      <c r="G12" s="3">
        <f t="shared" si="1"/>
        <v>-8.0818965517241992E-3</v>
      </c>
      <c r="H12" s="3">
        <f t="shared" si="2"/>
        <v>-3.8304202305689872E-2</v>
      </c>
      <c r="I12" s="3">
        <f t="shared" si="3"/>
        <v>-1.8387895814791499E-2</v>
      </c>
      <c r="J12" s="13">
        <v>-0.43</v>
      </c>
      <c r="K12" s="12">
        <v>0.49</v>
      </c>
      <c r="L12" s="13">
        <v>-0.22</v>
      </c>
      <c r="M12" s="20">
        <v>8.9999999999999993E-3</v>
      </c>
      <c r="N12" s="20">
        <f t="shared" si="4"/>
        <v>-5.0900408615554997E-2</v>
      </c>
      <c r="O12" s="20">
        <f t="shared" si="5"/>
        <v>-4.7304202305689873E-2</v>
      </c>
      <c r="P12" s="20">
        <f t="shared" si="6"/>
        <v>-1.70818965517242E-2</v>
      </c>
      <c r="Q12" s="20">
        <f t="shared" si="7"/>
        <v>-2.7387895814791501E-2</v>
      </c>
    </row>
    <row r="13" spans="1:23" x14ac:dyDescent="0.2">
      <c r="A13" s="1">
        <v>44580</v>
      </c>
      <c r="B13">
        <v>136.19999999999999</v>
      </c>
      <c r="C13">
        <v>55.32</v>
      </c>
      <c r="D13">
        <v>25.02</v>
      </c>
      <c r="E13" s="2">
        <v>4532.76</v>
      </c>
      <c r="F13" s="3">
        <f t="shared" si="0"/>
        <v>-1.5469134017637831E-2</v>
      </c>
      <c r="G13" s="3">
        <f t="shared" si="1"/>
        <v>1.6295491580662347E-3</v>
      </c>
      <c r="H13" s="3">
        <f t="shared" si="2"/>
        <v>-3.2482598607888602E-2</v>
      </c>
      <c r="I13" s="3">
        <f t="shared" si="3"/>
        <v>-9.6895202431227512E-3</v>
      </c>
      <c r="J13" s="12">
        <v>0.53</v>
      </c>
      <c r="K13" s="13">
        <v>-7.0000000000000007E-2</v>
      </c>
      <c r="L13" s="13">
        <v>-0.44</v>
      </c>
      <c r="M13" s="20">
        <v>8.9999999999999993E-3</v>
      </c>
      <c r="N13" s="20">
        <f t="shared" si="4"/>
        <v>-2.4469134017637832E-2</v>
      </c>
      <c r="O13" s="20">
        <f t="shared" si="5"/>
        <v>-4.1482598607888603E-2</v>
      </c>
      <c r="P13" s="20">
        <f t="shared" si="6"/>
        <v>-7.3704508419337646E-3</v>
      </c>
      <c r="Q13" s="20">
        <f t="shared" si="7"/>
        <v>-1.8689520243122752E-2</v>
      </c>
      <c r="R13" t="s">
        <v>17</v>
      </c>
    </row>
    <row r="14" spans="1:23" x14ac:dyDescent="0.2">
      <c r="A14" s="1">
        <v>44581</v>
      </c>
      <c r="B14">
        <v>135.04</v>
      </c>
      <c r="C14">
        <v>55.1</v>
      </c>
      <c r="D14">
        <v>24.11</v>
      </c>
      <c r="E14" s="2">
        <v>4482.7299999999996</v>
      </c>
      <c r="F14" s="3">
        <f t="shared" si="0"/>
        <v>-8.5168869309838469E-3</v>
      </c>
      <c r="G14" s="3">
        <f t="shared" si="1"/>
        <v>-3.9768618944323597E-3</v>
      </c>
      <c r="H14" s="3">
        <f t="shared" si="2"/>
        <v>-3.637090327737813E-2</v>
      </c>
      <c r="I14" s="3">
        <f t="shared" si="3"/>
        <v>-1.103742532143781E-2</v>
      </c>
      <c r="J14" s="12">
        <v>0.34</v>
      </c>
      <c r="K14" s="12">
        <v>0.43</v>
      </c>
      <c r="L14" s="13">
        <v>-0.62</v>
      </c>
      <c r="M14" s="20">
        <v>8.9999999999999993E-3</v>
      </c>
      <c r="N14" s="20">
        <f t="shared" si="4"/>
        <v>-1.7516886930983848E-2</v>
      </c>
      <c r="O14" s="20">
        <f t="shared" si="5"/>
        <v>-4.5370903277378132E-2</v>
      </c>
      <c r="P14" s="20">
        <f t="shared" si="6"/>
        <v>-1.2976861894432359E-2</v>
      </c>
      <c r="Q14" s="20">
        <f t="shared" si="7"/>
        <v>-2.0037425321437811E-2</v>
      </c>
      <c r="S14" t="s">
        <v>8</v>
      </c>
      <c r="T14" t="s">
        <v>9</v>
      </c>
      <c r="U14" t="s">
        <v>10</v>
      </c>
    </row>
    <row r="15" spans="1:23" x14ac:dyDescent="0.2">
      <c r="A15" s="1">
        <v>44582</v>
      </c>
      <c r="B15">
        <v>132.68</v>
      </c>
      <c r="C15">
        <v>54.83</v>
      </c>
      <c r="D15">
        <v>23.33</v>
      </c>
      <c r="E15" s="2">
        <v>4397.9399999999996</v>
      </c>
      <c r="F15" s="3">
        <f t="shared" si="0"/>
        <v>-1.7476303317535469E-2</v>
      </c>
      <c r="G15" s="3">
        <f t="shared" si="1"/>
        <v>-4.9001814882033701E-3</v>
      </c>
      <c r="H15" s="3">
        <f t="shared" si="2"/>
        <v>-3.2351721277478318E-2</v>
      </c>
      <c r="I15" s="3">
        <f t="shared" si="3"/>
        <v>-1.8914813071498782E-2</v>
      </c>
      <c r="J15" s="13">
        <v>-0.01</v>
      </c>
      <c r="K15" s="13">
        <v>-0.04</v>
      </c>
      <c r="L15" s="13">
        <v>-0.42</v>
      </c>
      <c r="M15" s="20">
        <v>8.9999999999999993E-3</v>
      </c>
      <c r="N15" s="20">
        <f t="shared" si="4"/>
        <v>-2.647630331753547E-2</v>
      </c>
      <c r="O15" s="20">
        <f t="shared" si="5"/>
        <v>-4.1351721277478319E-2</v>
      </c>
      <c r="P15" s="20">
        <f t="shared" si="6"/>
        <v>-1.3900181488203369E-2</v>
      </c>
      <c r="Q15" s="20">
        <f t="shared" si="7"/>
        <v>-2.7914813071498783E-2</v>
      </c>
      <c r="R15" t="s">
        <v>8</v>
      </c>
      <c r="S15">
        <f>CORREL(F:F,F:F)</f>
        <v>1</v>
      </c>
      <c r="T15">
        <f>CORREL(F:F,G:G)</f>
        <v>0.28948482239565881</v>
      </c>
      <c r="U15">
        <f>CORREL(F:F,H:H)</f>
        <v>0.32724130770915777</v>
      </c>
    </row>
    <row r="16" spans="1:23" x14ac:dyDescent="0.2">
      <c r="A16" s="1">
        <v>44585</v>
      </c>
      <c r="B16">
        <v>132.56</v>
      </c>
      <c r="C16">
        <v>54.38</v>
      </c>
      <c r="D16">
        <v>23.33</v>
      </c>
      <c r="E16" s="2">
        <v>4410.13</v>
      </c>
      <c r="F16" s="3">
        <f t="shared" si="0"/>
        <v>-9.0443171540555145E-4</v>
      </c>
      <c r="G16" s="3">
        <f t="shared" si="1"/>
        <v>-8.2071858471638448E-3</v>
      </c>
      <c r="H16" s="3">
        <f t="shared" si="2"/>
        <v>0</v>
      </c>
      <c r="I16" s="3">
        <f t="shared" si="3"/>
        <v>2.7717522294530283E-3</v>
      </c>
      <c r="J16" s="13">
        <v>-0.56999999999999995</v>
      </c>
      <c r="K16" s="13">
        <v>-0.25</v>
      </c>
      <c r="L16" s="12">
        <v>0.19</v>
      </c>
      <c r="M16" s="20">
        <v>8.9999999999999993E-3</v>
      </c>
      <c r="N16" s="20">
        <f t="shared" si="4"/>
        <v>-9.9044317154055508E-3</v>
      </c>
      <c r="O16" s="20">
        <f t="shared" si="5"/>
        <v>-8.9999999999999993E-3</v>
      </c>
      <c r="P16" s="20">
        <f t="shared" si="6"/>
        <v>-1.7207185847163846E-2</v>
      </c>
      <c r="Q16" s="20">
        <f t="shared" si="7"/>
        <v>-6.228247770546971E-3</v>
      </c>
      <c r="R16" t="s">
        <v>9</v>
      </c>
      <c r="S16">
        <f>CORREL(G:G,F:F)</f>
        <v>0.28948482239565881</v>
      </c>
      <c r="T16">
        <f>CORREL(G:G,G:G)</f>
        <v>1.0000000000000002</v>
      </c>
      <c r="U16">
        <f>CORREL(G:G,H:H)</f>
        <v>8.8260418033813362E-2</v>
      </c>
    </row>
    <row r="17" spans="1:23" x14ac:dyDescent="0.2">
      <c r="A17" s="1">
        <v>44586</v>
      </c>
      <c r="B17">
        <v>134</v>
      </c>
      <c r="C17">
        <v>54.25</v>
      </c>
      <c r="D17">
        <v>22.28</v>
      </c>
      <c r="E17" s="2">
        <v>4356.45</v>
      </c>
      <c r="F17" s="3">
        <f t="shared" si="0"/>
        <v>1.0863005431502648E-2</v>
      </c>
      <c r="G17" s="3">
        <f t="shared" si="1"/>
        <v>-2.3905847738139308E-3</v>
      </c>
      <c r="H17" s="3">
        <f t="shared" si="2"/>
        <v>-4.5006429489927058E-2</v>
      </c>
      <c r="I17" s="3">
        <f t="shared" si="3"/>
        <v>-1.2171976789799865E-2</v>
      </c>
      <c r="J17" s="14">
        <v>-0.6</v>
      </c>
      <c r="K17" s="12">
        <v>0.18</v>
      </c>
      <c r="L17" s="12">
        <v>0.36</v>
      </c>
      <c r="M17" s="20">
        <v>8.9999999999999993E-3</v>
      </c>
      <c r="N17" s="20">
        <f t="shared" si="4"/>
        <v>1.8630054315026488E-3</v>
      </c>
      <c r="O17" s="20">
        <f t="shared" si="5"/>
        <v>-5.4006429489927059E-2</v>
      </c>
      <c r="P17" s="20">
        <f t="shared" si="6"/>
        <v>-1.139058477381393E-2</v>
      </c>
      <c r="Q17" s="20">
        <f t="shared" si="7"/>
        <v>-2.1171976789799866E-2</v>
      </c>
      <c r="R17" t="s">
        <v>10</v>
      </c>
      <c r="S17">
        <f>CORREL(H:H,F:F)</f>
        <v>0.32724130770915777</v>
      </c>
      <c r="T17">
        <f>CORREL(H:H,G:G)</f>
        <v>8.8260418033813362E-2</v>
      </c>
      <c r="U17">
        <f>CORREL(H:H,H:H)</f>
        <v>1</v>
      </c>
    </row>
    <row r="18" spans="1:23" x14ac:dyDescent="0.2">
      <c r="A18" s="1">
        <v>44587</v>
      </c>
      <c r="B18">
        <v>135.27000000000001</v>
      </c>
      <c r="C18">
        <v>54.05</v>
      </c>
      <c r="D18">
        <v>22.73</v>
      </c>
      <c r="E18" s="2">
        <v>4349.93</v>
      </c>
      <c r="F18" s="3">
        <f t="shared" si="0"/>
        <v>9.4776119402986136E-3</v>
      </c>
      <c r="G18" s="3">
        <f t="shared" si="1"/>
        <v>-3.6866359447005337E-3</v>
      </c>
      <c r="H18" s="3">
        <f t="shared" si="2"/>
        <v>2.0197486535008968E-2</v>
      </c>
      <c r="I18" s="3">
        <f t="shared" si="3"/>
        <v>-1.4966314315554285E-3</v>
      </c>
      <c r="J18" s="13">
        <v>-0.73</v>
      </c>
      <c r="K18" s="13">
        <v>-0.27</v>
      </c>
      <c r="L18" s="13">
        <v>-0.23</v>
      </c>
      <c r="M18" s="20">
        <v>8.9999999999999993E-3</v>
      </c>
      <c r="N18" s="20">
        <f t="shared" si="4"/>
        <v>4.7761194029861433E-4</v>
      </c>
      <c r="O18" s="20">
        <f t="shared" si="5"/>
        <v>1.1197486535008969E-2</v>
      </c>
      <c r="P18" s="20">
        <f t="shared" si="6"/>
        <v>-1.2686635944700533E-2</v>
      </c>
      <c r="Q18" s="20">
        <f t="shared" si="7"/>
        <v>-1.0496631431555428E-2</v>
      </c>
    </row>
    <row r="19" spans="1:23" x14ac:dyDescent="0.2">
      <c r="A19" s="1">
        <v>44588</v>
      </c>
      <c r="B19">
        <v>132.88999999999999</v>
      </c>
      <c r="C19">
        <v>54.1</v>
      </c>
      <c r="D19">
        <v>21.91</v>
      </c>
      <c r="E19" s="2">
        <v>4326.51</v>
      </c>
      <c r="F19" s="3">
        <f t="shared" si="0"/>
        <v>-1.7594440748133544E-2</v>
      </c>
      <c r="G19" s="3">
        <f t="shared" si="1"/>
        <v>9.2506938020364693E-4</v>
      </c>
      <c r="H19" s="3">
        <f t="shared" si="2"/>
        <v>-3.6075670919489711E-2</v>
      </c>
      <c r="I19" s="3">
        <f t="shared" si="3"/>
        <v>-5.3839946849719711E-3</v>
      </c>
      <c r="J19" s="13">
        <v>-0.02</v>
      </c>
      <c r="K19" s="12">
        <v>0.09</v>
      </c>
      <c r="L19" s="12">
        <v>0.04</v>
      </c>
      <c r="M19" s="20">
        <v>8.9999999999999993E-3</v>
      </c>
      <c r="N19" s="20">
        <f t="shared" si="4"/>
        <v>-2.6594440748133545E-2</v>
      </c>
      <c r="O19" s="20">
        <f t="shared" si="5"/>
        <v>-4.5075670919489712E-2</v>
      </c>
      <c r="P19" s="20">
        <f t="shared" si="6"/>
        <v>-8.0749306197963524E-3</v>
      </c>
      <c r="Q19" s="20">
        <f t="shared" si="7"/>
        <v>-1.438399468497197E-2</v>
      </c>
      <c r="R19" t="s">
        <v>19</v>
      </c>
    </row>
    <row r="20" spans="1:23" x14ac:dyDescent="0.2">
      <c r="A20" s="1">
        <v>44589</v>
      </c>
      <c r="B20">
        <v>134.08000000000001</v>
      </c>
      <c r="C20">
        <v>55.18</v>
      </c>
      <c r="D20">
        <v>22.8</v>
      </c>
      <c r="E20" s="2">
        <v>4431.8500000000004</v>
      </c>
      <c r="F20" s="3">
        <f t="shared" si="0"/>
        <v>8.954774625630435E-3</v>
      </c>
      <c r="G20" s="3">
        <f t="shared" si="1"/>
        <v>1.9963031423290145E-2</v>
      </c>
      <c r="H20" s="3">
        <f t="shared" si="2"/>
        <v>4.0620721131903181E-2</v>
      </c>
      <c r="I20" s="3">
        <f t="shared" si="3"/>
        <v>2.4347568825681787E-2</v>
      </c>
      <c r="J20" s="13">
        <v>-0.14000000000000001</v>
      </c>
      <c r="K20" s="12">
        <v>0.44</v>
      </c>
      <c r="L20" s="13">
        <v>-0.05</v>
      </c>
      <c r="M20" s="20">
        <v>8.9999999999999993E-3</v>
      </c>
      <c r="N20" s="20">
        <f t="shared" si="4"/>
        <v>-4.5225374369564295E-5</v>
      </c>
      <c r="O20" s="20">
        <f t="shared" si="5"/>
        <v>3.162072113190318E-2</v>
      </c>
      <c r="P20" s="20">
        <f t="shared" si="6"/>
        <v>1.0963031423290146E-2</v>
      </c>
      <c r="Q20" s="20">
        <f t="shared" si="7"/>
        <v>1.5347568825681787E-2</v>
      </c>
      <c r="R20" t="s">
        <v>20</v>
      </c>
      <c r="S20" s="9">
        <v>4.2000000000000003E-2</v>
      </c>
    </row>
    <row r="21" spans="1:23" x14ac:dyDescent="0.2">
      <c r="A21" s="1">
        <v>44592</v>
      </c>
      <c r="B21">
        <v>135.9</v>
      </c>
      <c r="C21">
        <v>55.33</v>
      </c>
      <c r="D21">
        <v>24.44</v>
      </c>
      <c r="E21" s="2">
        <v>4515.55</v>
      </c>
      <c r="F21" s="3">
        <f t="shared" si="0"/>
        <v>1.3573985680190859E-2</v>
      </c>
      <c r="G21" s="3">
        <f t="shared" si="1"/>
        <v>2.7183762232692033E-3</v>
      </c>
      <c r="H21" s="3">
        <f t="shared" si="2"/>
        <v>7.192982456140351E-2</v>
      </c>
      <c r="I21" s="3">
        <f t="shared" si="3"/>
        <v>1.8886018254227865E-2</v>
      </c>
      <c r="J21" s="12">
        <v>0.53</v>
      </c>
      <c r="K21" s="13">
        <v>-0.39</v>
      </c>
      <c r="L21" s="13">
        <v>-0.22</v>
      </c>
      <c r="M21" s="20">
        <v>8.9999999999999993E-3</v>
      </c>
      <c r="N21" s="20">
        <f t="shared" si="4"/>
        <v>4.5739856801908594E-3</v>
      </c>
      <c r="O21" s="20">
        <f t="shared" si="5"/>
        <v>6.2929824561403516E-2</v>
      </c>
      <c r="P21" s="20">
        <f t="shared" si="6"/>
        <v>-6.2816237767307961E-3</v>
      </c>
      <c r="Q21" s="20">
        <f t="shared" si="7"/>
        <v>9.8860182542278661E-3</v>
      </c>
      <c r="R21" t="s">
        <v>11</v>
      </c>
      <c r="S21" s="7">
        <f>W5-S20</f>
        <v>8.9327423145073165E-2</v>
      </c>
    </row>
    <row r="22" spans="1:23" x14ac:dyDescent="0.2">
      <c r="A22" s="1">
        <v>44593</v>
      </c>
      <c r="B22">
        <v>138.22999999999999</v>
      </c>
      <c r="C22">
        <v>54.93</v>
      </c>
      <c r="D22">
        <v>24.59</v>
      </c>
      <c r="E22" s="2">
        <v>4546.54</v>
      </c>
      <c r="F22" s="3">
        <f t="shared" si="0"/>
        <v>1.7144959529065362E-2</v>
      </c>
      <c r="G22" s="3">
        <f t="shared" si="1"/>
        <v>-7.2293511657328668E-3</v>
      </c>
      <c r="H22" s="3">
        <f t="shared" si="2"/>
        <v>6.1374795417348249E-3</v>
      </c>
      <c r="I22" s="3">
        <f t="shared" si="3"/>
        <v>6.8629513569775646E-3</v>
      </c>
      <c r="J22" s="12">
        <v>0.43</v>
      </c>
      <c r="K22" s="13">
        <v>-0.41</v>
      </c>
      <c r="L22" s="11">
        <v>0.2</v>
      </c>
      <c r="M22" s="20">
        <v>8.9999999999999993E-3</v>
      </c>
      <c r="N22" s="20">
        <f t="shared" si="4"/>
        <v>8.1449595290653629E-3</v>
      </c>
      <c r="O22" s="20">
        <f t="shared" si="5"/>
        <v>-2.8625204582651744E-3</v>
      </c>
      <c r="P22" s="20">
        <f t="shared" si="6"/>
        <v>-1.6229351165732868E-2</v>
      </c>
      <c r="Q22" s="20">
        <f t="shared" si="7"/>
        <v>-2.1370486430224347E-3</v>
      </c>
    </row>
    <row r="23" spans="1:23" x14ac:dyDescent="0.2">
      <c r="A23" s="1">
        <v>44594</v>
      </c>
      <c r="B23">
        <v>137.12</v>
      </c>
      <c r="C23">
        <v>55.49</v>
      </c>
      <c r="D23">
        <v>25.2</v>
      </c>
      <c r="E23" s="2">
        <v>4589.38</v>
      </c>
      <c r="F23" s="3">
        <f t="shared" si="0"/>
        <v>-8.0300947695868263E-3</v>
      </c>
      <c r="G23" s="3">
        <f t="shared" si="1"/>
        <v>1.0194793373384359E-2</v>
      </c>
      <c r="H23" s="3">
        <f t="shared" si="2"/>
        <v>2.4806832045547011E-2</v>
      </c>
      <c r="I23" s="3">
        <f t="shared" si="3"/>
        <v>9.4225498950850639E-3</v>
      </c>
      <c r="J23" s="15">
        <v>1.0900000000000001</v>
      </c>
      <c r="K23" s="12">
        <v>0.02</v>
      </c>
      <c r="L23" s="13">
        <v>-0.25</v>
      </c>
      <c r="M23" s="20">
        <v>8.9999999999999993E-3</v>
      </c>
      <c r="N23" s="20">
        <f t="shared" si="4"/>
        <v>-1.7030094769586827E-2</v>
      </c>
      <c r="O23" s="20">
        <f t="shared" si="5"/>
        <v>1.580683204554701E-2</v>
      </c>
      <c r="P23" s="20">
        <f t="shared" si="6"/>
        <v>1.1947933733843594E-3</v>
      </c>
      <c r="Q23" s="20">
        <f t="shared" si="7"/>
        <v>4.2254989508506459E-4</v>
      </c>
      <c r="S23" t="s">
        <v>21</v>
      </c>
      <c r="U23" t="s">
        <v>22</v>
      </c>
      <c r="W23" t="s">
        <v>23</v>
      </c>
    </row>
    <row r="24" spans="1:23" x14ac:dyDescent="0.2">
      <c r="A24" s="1">
        <v>44595</v>
      </c>
      <c r="B24">
        <v>135.99</v>
      </c>
      <c r="C24">
        <v>55.88</v>
      </c>
      <c r="D24">
        <v>23.91</v>
      </c>
      <c r="E24" s="2">
        <v>4477.4399999999996</v>
      </c>
      <c r="F24" s="3">
        <f t="shared" si="0"/>
        <v>-8.2409568261376798E-3</v>
      </c>
      <c r="G24" s="3">
        <f t="shared" si="1"/>
        <v>7.0282933861958163E-3</v>
      </c>
      <c r="H24" s="3">
        <f t="shared" si="2"/>
        <v>-5.119047619047612E-2</v>
      </c>
      <c r="I24" s="3">
        <f t="shared" si="3"/>
        <v>-2.4391094221877574E-2</v>
      </c>
      <c r="J24" s="12">
        <v>0.36</v>
      </c>
      <c r="K24" s="14">
        <v>-0.6</v>
      </c>
      <c r="L24" s="17">
        <v>-1.04</v>
      </c>
      <c r="M24" s="20">
        <v>8.9999999999999993E-3</v>
      </c>
      <c r="N24" s="20">
        <f t="shared" si="4"/>
        <v>-1.7240956826137681E-2</v>
      </c>
      <c r="O24" s="20">
        <f t="shared" si="5"/>
        <v>-6.0190476190476121E-2</v>
      </c>
      <c r="P24" s="20">
        <f t="shared" si="6"/>
        <v>-1.971706613804183E-3</v>
      </c>
      <c r="Q24" s="20">
        <f t="shared" si="7"/>
        <v>-3.3391094221877575E-2</v>
      </c>
      <c r="R24" t="s">
        <v>8</v>
      </c>
      <c r="S24">
        <v>0.33</v>
      </c>
      <c r="U24" s="6">
        <f>(S24*S2)+(S25*S3)+(S26*S4)</f>
        <v>1.2173093149615089E-3</v>
      </c>
      <c r="W24" s="6">
        <f>S24^2*U2+S25^2*U3+S26^2*U4+2*S24*S25*T9+2*S24*S26*U9+2*S25*S26*U10</f>
        <v>2.3440023958592627E-4</v>
      </c>
    </row>
    <row r="25" spans="1:23" x14ac:dyDescent="0.2">
      <c r="A25" s="1">
        <v>44596</v>
      </c>
      <c r="B25">
        <v>139.52000000000001</v>
      </c>
      <c r="C25">
        <v>55.29</v>
      </c>
      <c r="D25">
        <v>24.28</v>
      </c>
      <c r="E25" s="2">
        <v>4500.53</v>
      </c>
      <c r="F25" s="3">
        <f t="shared" si="0"/>
        <v>2.5957791014045162E-2</v>
      </c>
      <c r="G25" s="3">
        <f t="shared" si="1"/>
        <v>-1.0558339298496811E-2</v>
      </c>
      <c r="H25" s="3">
        <f t="shared" si="2"/>
        <v>1.5474696779590236E-2</v>
      </c>
      <c r="I25" s="3">
        <f t="shared" si="3"/>
        <v>5.156964694110977E-3</v>
      </c>
      <c r="J25" s="12">
        <v>0.14000000000000001</v>
      </c>
      <c r="K25" s="13">
        <v>-0.46</v>
      </c>
      <c r="L25" s="12">
        <v>0.53</v>
      </c>
      <c r="M25" s="20">
        <v>8.9999999999999993E-3</v>
      </c>
      <c r="N25" s="20">
        <f t="shared" si="4"/>
        <v>1.6957791014045161E-2</v>
      </c>
      <c r="O25" s="20">
        <f t="shared" si="5"/>
        <v>6.4746967795902364E-3</v>
      </c>
      <c r="P25" s="20">
        <f t="shared" si="6"/>
        <v>-1.9558339298496812E-2</v>
      </c>
      <c r="Q25" s="20">
        <f t="shared" si="7"/>
        <v>-3.8430353058890223E-3</v>
      </c>
      <c r="R25" t="s">
        <v>9</v>
      </c>
      <c r="S25">
        <v>0.33</v>
      </c>
      <c r="W25" s="6">
        <f>SQRT(W24)</f>
        <v>1.5310135191628004E-2</v>
      </c>
    </row>
    <row r="26" spans="1:23" x14ac:dyDescent="0.2">
      <c r="A26" s="1">
        <v>44599</v>
      </c>
      <c r="B26">
        <v>139.97999999999999</v>
      </c>
      <c r="C26">
        <v>55.87</v>
      </c>
      <c r="D26">
        <v>24.68</v>
      </c>
      <c r="E26" s="2">
        <v>4483.87</v>
      </c>
      <c r="F26" s="3">
        <f t="shared" si="0"/>
        <v>3.2970183486236149E-3</v>
      </c>
      <c r="G26" s="3">
        <f t="shared" si="1"/>
        <v>1.0490142882980669E-2</v>
      </c>
      <c r="H26" s="3">
        <f t="shared" si="2"/>
        <v>1.6474464579901094E-2</v>
      </c>
      <c r="I26" s="3">
        <f t="shared" si="3"/>
        <v>-3.701786234065696E-3</v>
      </c>
      <c r="J26" s="12">
        <v>0.46</v>
      </c>
      <c r="K26" s="13">
        <v>-0.12</v>
      </c>
      <c r="L26" s="13">
        <v>-0.17</v>
      </c>
      <c r="M26" s="20">
        <v>8.9999999999999993E-3</v>
      </c>
      <c r="N26" s="20">
        <f t="shared" si="4"/>
        <v>-5.7029816513763845E-3</v>
      </c>
      <c r="O26" s="20">
        <f t="shared" si="5"/>
        <v>7.4744645799010943E-3</v>
      </c>
      <c r="P26" s="20">
        <f t="shared" si="6"/>
        <v>1.4901428829806693E-3</v>
      </c>
      <c r="Q26" s="20">
        <f t="shared" si="7"/>
        <v>-1.2701786234065695E-2</v>
      </c>
      <c r="R26" t="s">
        <v>10</v>
      </c>
      <c r="S26">
        <v>0.34</v>
      </c>
    </row>
    <row r="27" spans="1:23" x14ac:dyDescent="0.2">
      <c r="A27" s="1">
        <v>44600</v>
      </c>
      <c r="B27">
        <v>142.62</v>
      </c>
      <c r="C27">
        <v>56.23</v>
      </c>
      <c r="D27">
        <v>25.06</v>
      </c>
      <c r="E27" s="2">
        <v>4521.54</v>
      </c>
      <c r="F27" s="3">
        <f t="shared" si="0"/>
        <v>1.8859837119588718E-2</v>
      </c>
      <c r="G27" s="3">
        <f t="shared" si="1"/>
        <v>6.4435296223375182E-3</v>
      </c>
      <c r="H27" s="3">
        <f t="shared" si="2"/>
        <v>1.5397082658022754E-2</v>
      </c>
      <c r="I27" s="3">
        <f t="shared" si="3"/>
        <v>8.4012248347966612E-3</v>
      </c>
      <c r="J27" s="12">
        <v>0.84</v>
      </c>
      <c r="K27" s="13">
        <v>-0.26</v>
      </c>
      <c r="L27" s="12">
        <v>0.03</v>
      </c>
      <c r="M27" s="21">
        <v>0.01</v>
      </c>
      <c r="N27" s="20">
        <f t="shared" si="4"/>
        <v>8.859837119588718E-3</v>
      </c>
      <c r="O27" s="20">
        <f t="shared" si="5"/>
        <v>5.3970826580227536E-3</v>
      </c>
      <c r="P27" s="20">
        <f t="shared" si="6"/>
        <v>-3.556470377662482E-3</v>
      </c>
      <c r="Q27" s="20">
        <f t="shared" si="7"/>
        <v>-1.5987751652033391E-3</v>
      </c>
      <c r="S27">
        <f>SUM(S24:S26)</f>
        <v>1</v>
      </c>
    </row>
    <row r="28" spans="1:23" x14ac:dyDescent="0.2">
      <c r="A28" s="1">
        <v>44601</v>
      </c>
      <c r="B28">
        <v>143.21</v>
      </c>
      <c r="C28">
        <v>55.36</v>
      </c>
      <c r="D28">
        <v>26.66</v>
      </c>
      <c r="E28" s="2">
        <v>4587.18</v>
      </c>
      <c r="F28" s="3">
        <f t="shared" si="0"/>
        <v>4.1368671995511974E-3</v>
      </c>
      <c r="G28" s="3">
        <f t="shared" si="1"/>
        <v>-1.5472167881913523E-2</v>
      </c>
      <c r="H28" s="3">
        <f t="shared" si="2"/>
        <v>6.3846767757382406E-2</v>
      </c>
      <c r="I28" s="3">
        <f t="shared" si="3"/>
        <v>1.4517177775713597E-2</v>
      </c>
      <c r="J28" s="12">
        <v>0.47</v>
      </c>
      <c r="K28" s="13">
        <v>-0.25</v>
      </c>
      <c r="L28" s="13">
        <v>-0.63</v>
      </c>
      <c r="M28" s="21">
        <v>0.01</v>
      </c>
      <c r="N28" s="20">
        <f t="shared" si="4"/>
        <v>-5.8631328004488028E-3</v>
      </c>
      <c r="O28" s="20">
        <f t="shared" si="5"/>
        <v>5.3846767757382404E-2</v>
      </c>
      <c r="P28" s="20">
        <f t="shared" si="6"/>
        <v>-2.5472167881913525E-2</v>
      </c>
      <c r="Q28" s="20">
        <f t="shared" si="7"/>
        <v>4.5171777757135965E-3</v>
      </c>
    </row>
    <row r="29" spans="1:23" x14ac:dyDescent="0.2">
      <c r="A29" s="1">
        <v>44602</v>
      </c>
      <c r="B29">
        <v>142.62</v>
      </c>
      <c r="C29">
        <v>55.67</v>
      </c>
      <c r="D29">
        <v>25.78</v>
      </c>
      <c r="E29" s="2">
        <v>4504.08</v>
      </c>
      <c r="F29" s="3">
        <f t="shared" si="0"/>
        <v>-4.1198240346345116E-3</v>
      </c>
      <c r="G29" s="3">
        <f t="shared" si="1"/>
        <v>5.5997109826591007E-3</v>
      </c>
      <c r="H29" s="3">
        <f t="shared" si="2"/>
        <v>-3.3008252063015719E-2</v>
      </c>
      <c r="I29" s="3">
        <f t="shared" si="3"/>
        <v>-1.8115705073705524E-2</v>
      </c>
      <c r="J29" s="13">
        <v>-0.36</v>
      </c>
      <c r="K29" s="12">
        <v>0.11</v>
      </c>
      <c r="L29" s="12">
        <v>0.33</v>
      </c>
      <c r="M29" s="21">
        <v>0.01</v>
      </c>
      <c r="N29" s="20">
        <f t="shared" si="4"/>
        <v>-1.4119824034634512E-2</v>
      </c>
      <c r="O29" s="20">
        <f t="shared" si="5"/>
        <v>-4.3008252063015721E-2</v>
      </c>
      <c r="P29" s="20">
        <f t="shared" si="6"/>
        <v>-4.4002890173408995E-3</v>
      </c>
      <c r="Q29" s="20">
        <f t="shared" si="7"/>
        <v>-2.8115705073705526E-2</v>
      </c>
    </row>
    <row r="30" spans="1:23" x14ac:dyDescent="0.2">
      <c r="A30" s="1">
        <v>44603</v>
      </c>
      <c r="B30">
        <v>140.76</v>
      </c>
      <c r="C30">
        <v>54.68</v>
      </c>
      <c r="D30">
        <v>23.91</v>
      </c>
      <c r="E30" s="2">
        <v>4418.6400000000003</v>
      </c>
      <c r="F30" s="3">
        <f t="shared" si="0"/>
        <v>-1.3041649137568445E-2</v>
      </c>
      <c r="G30" s="3">
        <f t="shared" si="1"/>
        <v>-1.778336626549315E-2</v>
      </c>
      <c r="H30" s="3">
        <f t="shared" si="2"/>
        <v>-7.2536850271528341E-2</v>
      </c>
      <c r="I30" s="3">
        <f t="shared" si="3"/>
        <v>-1.89694676826343E-2</v>
      </c>
      <c r="J30" s="13">
        <v>-0.09</v>
      </c>
      <c r="K30" s="12">
        <v>0.01</v>
      </c>
      <c r="L30" s="12">
        <v>0.72</v>
      </c>
      <c r="M30" s="21">
        <v>0.01</v>
      </c>
      <c r="N30" s="20">
        <f t="shared" si="4"/>
        <v>-2.3041649137568447E-2</v>
      </c>
      <c r="O30" s="20">
        <f t="shared" si="5"/>
        <v>-8.2536850271528336E-2</v>
      </c>
      <c r="P30" s="20">
        <f t="shared" si="6"/>
        <v>-2.7783366265493152E-2</v>
      </c>
      <c r="Q30" s="20">
        <f t="shared" si="7"/>
        <v>-2.8969467682634302E-2</v>
      </c>
    </row>
    <row r="31" spans="1:23" x14ac:dyDescent="0.2">
      <c r="A31" s="1">
        <v>44606</v>
      </c>
      <c r="B31">
        <v>139.44999999999999</v>
      </c>
      <c r="C31">
        <v>55.03</v>
      </c>
      <c r="D31">
        <v>24.22</v>
      </c>
      <c r="E31" s="2">
        <v>4401.67</v>
      </c>
      <c r="F31" s="3">
        <f t="shared" si="0"/>
        <v>-9.3066211992043346E-3</v>
      </c>
      <c r="G31" s="3">
        <f t="shared" si="1"/>
        <v>6.4008778346744677E-3</v>
      </c>
      <c r="H31" s="3">
        <f t="shared" si="2"/>
        <v>1.2965286491007921E-2</v>
      </c>
      <c r="I31" s="3">
        <f t="shared" si="3"/>
        <v>-3.8405482229827426E-3</v>
      </c>
      <c r="J31" s="12">
        <v>0.68</v>
      </c>
      <c r="K31" s="12">
        <v>7.0000000000000007E-2</v>
      </c>
      <c r="L31" s="12">
        <v>0.17</v>
      </c>
      <c r="M31" s="21">
        <v>0.01</v>
      </c>
      <c r="N31" s="20">
        <f t="shared" si="4"/>
        <v>-1.9306621199204337E-2</v>
      </c>
      <c r="O31" s="20">
        <f t="shared" si="5"/>
        <v>2.9652864910079211E-3</v>
      </c>
      <c r="P31" s="20">
        <f t="shared" si="6"/>
        <v>-3.5991221653255325E-3</v>
      </c>
      <c r="Q31" s="20">
        <f t="shared" si="7"/>
        <v>-1.3840548222982743E-2</v>
      </c>
    </row>
    <row r="32" spans="1:23" x14ac:dyDescent="0.2">
      <c r="A32" s="1">
        <v>44607</v>
      </c>
      <c r="B32">
        <v>141.49</v>
      </c>
      <c r="C32">
        <v>55.24</v>
      </c>
      <c r="D32">
        <v>26.45</v>
      </c>
      <c r="E32" s="2">
        <v>4471.07</v>
      </c>
      <c r="F32" s="3">
        <f t="shared" si="0"/>
        <v>1.4628899247042026E-2</v>
      </c>
      <c r="G32" s="3">
        <f t="shared" si="1"/>
        <v>3.8161003089223211E-3</v>
      </c>
      <c r="H32" s="3">
        <f t="shared" si="2"/>
        <v>9.2072667217175885E-2</v>
      </c>
      <c r="I32" s="3">
        <f t="shared" si="3"/>
        <v>1.5766743077059386E-2</v>
      </c>
      <c r="J32" s="12">
        <v>0.46</v>
      </c>
      <c r="K32" s="12">
        <v>0.15</v>
      </c>
      <c r="L32" s="13">
        <v>-0.35</v>
      </c>
      <c r="M32" s="21">
        <v>0.01</v>
      </c>
      <c r="N32" s="20">
        <f t="shared" si="4"/>
        <v>4.6288992470420263E-3</v>
      </c>
      <c r="O32" s="20">
        <f t="shared" si="5"/>
        <v>8.207266721717589E-2</v>
      </c>
      <c r="P32" s="20">
        <f t="shared" si="6"/>
        <v>-6.1838996910776791E-3</v>
      </c>
      <c r="Q32" s="20">
        <f t="shared" si="7"/>
        <v>5.7667430770593862E-3</v>
      </c>
    </row>
    <row r="33" spans="1:17" x14ac:dyDescent="0.2">
      <c r="A33" s="1">
        <v>44608</v>
      </c>
      <c r="B33">
        <v>141.75</v>
      </c>
      <c r="C33">
        <v>55.23</v>
      </c>
      <c r="D33">
        <v>26.46</v>
      </c>
      <c r="E33" s="2">
        <v>4475.01</v>
      </c>
      <c r="F33" s="3">
        <f t="shared" si="0"/>
        <v>1.8375856951020619E-3</v>
      </c>
      <c r="G33" s="3">
        <f t="shared" si="1"/>
        <v>-1.8102824040555632E-4</v>
      </c>
      <c r="H33" s="3">
        <f t="shared" si="2"/>
        <v>3.780718336483524E-4</v>
      </c>
      <c r="I33" s="3">
        <f t="shared" si="3"/>
        <v>8.8122082633468324E-4</v>
      </c>
      <c r="J33" s="12">
        <v>0.21</v>
      </c>
      <c r="K33" s="13">
        <v>-7.0000000000000007E-2</v>
      </c>
      <c r="L33" s="13">
        <v>-0.22</v>
      </c>
      <c r="M33" s="21">
        <v>0.01</v>
      </c>
      <c r="N33" s="20">
        <f t="shared" si="4"/>
        <v>-8.1624143048979383E-3</v>
      </c>
      <c r="O33" s="20">
        <f t="shared" si="5"/>
        <v>-9.6219281663516478E-3</v>
      </c>
      <c r="P33" s="20">
        <f t="shared" si="6"/>
        <v>-1.0181028240405557E-2</v>
      </c>
      <c r="Q33" s="20">
        <f t="shared" si="7"/>
        <v>-9.118779173665317E-3</v>
      </c>
    </row>
    <row r="34" spans="1:17" x14ac:dyDescent="0.2">
      <c r="A34" s="1">
        <v>44609</v>
      </c>
      <c r="B34">
        <v>138.47999999999999</v>
      </c>
      <c r="C34">
        <v>56.34</v>
      </c>
      <c r="D34">
        <v>24.46</v>
      </c>
      <c r="E34" s="2">
        <v>4380.26</v>
      </c>
      <c r="F34" s="3">
        <f t="shared" si="0"/>
        <v>-2.3068783068783127E-2</v>
      </c>
      <c r="G34" s="3">
        <f t="shared" si="1"/>
        <v>2.0097772949484005E-2</v>
      </c>
      <c r="H34" s="3">
        <f t="shared" si="2"/>
        <v>-7.5585789871504105E-2</v>
      </c>
      <c r="I34" s="3">
        <f t="shared" si="3"/>
        <v>-2.1173137043269175E-2</v>
      </c>
      <c r="J34" s="16">
        <v>-1.4</v>
      </c>
      <c r="K34" s="12">
        <v>0.34</v>
      </c>
      <c r="L34" s="12">
        <v>0.21</v>
      </c>
      <c r="M34" s="21">
        <v>0.01</v>
      </c>
      <c r="N34" s="20">
        <f t="shared" si="4"/>
        <v>-3.3068783068783129E-2</v>
      </c>
      <c r="O34" s="20">
        <f t="shared" si="5"/>
        <v>-8.55857898715041E-2</v>
      </c>
      <c r="P34" s="20">
        <f t="shared" si="6"/>
        <v>1.0097772949484005E-2</v>
      </c>
      <c r="Q34" s="20">
        <f t="shared" si="7"/>
        <v>-3.1173137043269177E-2</v>
      </c>
    </row>
    <row r="35" spans="1:17" x14ac:dyDescent="0.2">
      <c r="A35" s="1">
        <v>44610</v>
      </c>
      <c r="B35">
        <v>139.13</v>
      </c>
      <c r="C35">
        <v>56.72</v>
      </c>
      <c r="D35">
        <v>23.6</v>
      </c>
      <c r="E35" s="2">
        <v>4348.87</v>
      </c>
      <c r="F35" s="3">
        <f t="shared" si="0"/>
        <v>4.6938186019642725E-3</v>
      </c>
      <c r="G35" s="3">
        <f t="shared" si="1"/>
        <v>6.7447639332622877E-3</v>
      </c>
      <c r="H35" s="3">
        <f t="shared" si="2"/>
        <v>-3.5159443990188E-2</v>
      </c>
      <c r="I35" s="3">
        <f t="shared" si="3"/>
        <v>-7.1662412733491943E-3</v>
      </c>
      <c r="J35" s="13">
        <v>-0.56999999999999995</v>
      </c>
      <c r="K35" s="12">
        <v>0.21</v>
      </c>
      <c r="L35" s="12">
        <v>0.34</v>
      </c>
      <c r="M35" s="21">
        <v>0.01</v>
      </c>
      <c r="N35" s="20">
        <f t="shared" si="4"/>
        <v>-5.3061813980357277E-3</v>
      </c>
      <c r="O35" s="20">
        <f t="shared" si="5"/>
        <v>-4.5159443990188002E-2</v>
      </c>
      <c r="P35" s="20">
        <f t="shared" si="6"/>
        <v>-3.2552360667377125E-3</v>
      </c>
      <c r="Q35" s="20">
        <f t="shared" si="7"/>
        <v>-1.7166241273349196E-2</v>
      </c>
    </row>
    <row r="36" spans="1:17" x14ac:dyDescent="0.2">
      <c r="A36" s="1">
        <v>44614</v>
      </c>
      <c r="B36">
        <v>138.88999999999999</v>
      </c>
      <c r="C36">
        <v>56.49</v>
      </c>
      <c r="D36">
        <v>23.35</v>
      </c>
      <c r="E36" s="2">
        <v>4304.76</v>
      </c>
      <c r="F36" s="3">
        <f t="shared" si="0"/>
        <v>-1.7250053906419094E-3</v>
      </c>
      <c r="G36" s="3">
        <f t="shared" si="1"/>
        <v>-4.0550070521860881E-3</v>
      </c>
      <c r="H36" s="3">
        <f t="shared" si="2"/>
        <v>-1.0593220338983023E-2</v>
      </c>
      <c r="I36" s="3">
        <f t="shared" si="3"/>
        <v>-1.0142864698185927E-2</v>
      </c>
      <c r="J36" s="12">
        <v>0.84</v>
      </c>
      <c r="K36" s="13">
        <v>-0.76</v>
      </c>
      <c r="L36" s="11">
        <v>0.4</v>
      </c>
      <c r="M36" s="21">
        <v>0.01</v>
      </c>
      <c r="N36" s="20">
        <f t="shared" si="4"/>
        <v>-1.172500539064191E-2</v>
      </c>
      <c r="O36" s="20">
        <f t="shared" si="5"/>
        <v>-2.0593220338983025E-2</v>
      </c>
      <c r="P36" s="20">
        <f t="shared" si="6"/>
        <v>-1.4055007052186088E-2</v>
      </c>
      <c r="Q36" s="20">
        <f t="shared" si="7"/>
        <v>-2.0142864698185929E-2</v>
      </c>
    </row>
    <row r="37" spans="1:17" x14ac:dyDescent="0.2">
      <c r="A37" s="1">
        <v>44615</v>
      </c>
      <c r="B37">
        <v>135.97999999999999</v>
      </c>
      <c r="C37">
        <v>55.86</v>
      </c>
      <c r="D37">
        <v>22.35</v>
      </c>
      <c r="E37" s="2">
        <v>4225.5</v>
      </c>
      <c r="F37" s="3">
        <f t="shared" si="0"/>
        <v>-2.0951832385340929E-2</v>
      </c>
      <c r="G37" s="3">
        <f t="shared" si="1"/>
        <v>-1.1152416356877359E-2</v>
      </c>
      <c r="H37" s="3">
        <f t="shared" si="2"/>
        <v>-4.2826552462526757E-2</v>
      </c>
      <c r="I37" s="3">
        <f t="shared" si="3"/>
        <v>-1.8412176288573612E-2</v>
      </c>
      <c r="J37" s="12">
        <v>0.57999999999999996</v>
      </c>
      <c r="K37" s="13">
        <v>-0.85</v>
      </c>
      <c r="L37" s="12">
        <v>0.26</v>
      </c>
      <c r="M37" s="21">
        <v>0.01</v>
      </c>
      <c r="N37" s="20">
        <f t="shared" si="4"/>
        <v>-3.0951832385340931E-2</v>
      </c>
      <c r="O37" s="20">
        <f t="shared" si="5"/>
        <v>-5.2826552462526759E-2</v>
      </c>
      <c r="P37" s="20">
        <f t="shared" si="6"/>
        <v>-2.1152416356877361E-2</v>
      </c>
      <c r="Q37" s="20">
        <f t="shared" si="7"/>
        <v>-2.8412176288573614E-2</v>
      </c>
    </row>
    <row r="38" spans="1:17" x14ac:dyDescent="0.2">
      <c r="A38" s="1">
        <v>44616</v>
      </c>
      <c r="B38">
        <v>132.19</v>
      </c>
      <c r="C38">
        <v>54.88</v>
      </c>
      <c r="D38">
        <v>23.71</v>
      </c>
      <c r="E38" s="2">
        <v>4288.7</v>
      </c>
      <c r="F38" s="3">
        <f t="shared" si="0"/>
        <v>-2.7871745844977092E-2</v>
      </c>
      <c r="G38" s="3">
        <f t="shared" si="1"/>
        <v>-1.7543859649122751E-2</v>
      </c>
      <c r="H38" s="3">
        <f t="shared" si="2"/>
        <v>6.0850111856823208E-2</v>
      </c>
      <c r="I38" s="3">
        <f t="shared" si="3"/>
        <v>1.4956809844988816E-2</v>
      </c>
      <c r="J38" s="12">
        <v>0.69</v>
      </c>
      <c r="K38" s="11">
        <v>0.2</v>
      </c>
      <c r="L38" s="13">
        <v>-0.44</v>
      </c>
      <c r="M38" s="21">
        <v>0.01</v>
      </c>
      <c r="N38" s="20">
        <f t="shared" si="4"/>
        <v>-3.7871745844977094E-2</v>
      </c>
      <c r="O38" s="20">
        <f t="shared" si="5"/>
        <v>5.0850111856823206E-2</v>
      </c>
      <c r="P38" s="20">
        <f t="shared" si="6"/>
        <v>-2.7543859649122752E-2</v>
      </c>
      <c r="Q38" s="20">
        <f t="shared" si="7"/>
        <v>4.9568098449888163E-3</v>
      </c>
    </row>
    <row r="39" spans="1:17" x14ac:dyDescent="0.2">
      <c r="A39" s="1">
        <v>44617</v>
      </c>
      <c r="B39">
        <v>135.32</v>
      </c>
      <c r="C39">
        <v>57</v>
      </c>
      <c r="D39">
        <v>24.11</v>
      </c>
      <c r="E39" s="2">
        <v>4384.6499999999996</v>
      </c>
      <c r="F39" s="3">
        <f t="shared" si="0"/>
        <v>2.3678039186020072E-2</v>
      </c>
      <c r="G39" s="3">
        <f t="shared" si="1"/>
        <v>3.8629737609329418E-2</v>
      </c>
      <c r="H39" s="3">
        <f t="shared" si="2"/>
        <v>1.6870518768452136E-2</v>
      </c>
      <c r="I39" s="3">
        <f t="shared" si="3"/>
        <v>2.2372746986266234E-2</v>
      </c>
      <c r="J39" s="12">
        <v>7.0000000000000007E-2</v>
      </c>
      <c r="K39" s="12">
        <v>0.25</v>
      </c>
      <c r="L39" s="12">
        <v>0.67</v>
      </c>
      <c r="M39" s="21">
        <v>0.01</v>
      </c>
      <c r="N39" s="20">
        <f t="shared" si="4"/>
        <v>1.3678039186020072E-2</v>
      </c>
      <c r="O39" s="20">
        <f t="shared" si="5"/>
        <v>6.8705187684521361E-3</v>
      </c>
      <c r="P39" s="20">
        <f t="shared" si="6"/>
        <v>2.8629737609329416E-2</v>
      </c>
      <c r="Q39" s="20">
        <f t="shared" si="7"/>
        <v>1.2372746986266234E-2</v>
      </c>
    </row>
    <row r="40" spans="1:17" x14ac:dyDescent="0.2">
      <c r="A40" s="1">
        <v>44620</v>
      </c>
      <c r="B40">
        <v>129.68</v>
      </c>
      <c r="C40">
        <v>56.45</v>
      </c>
      <c r="D40">
        <v>24.34</v>
      </c>
      <c r="E40" s="2">
        <v>4373.9399999999996</v>
      </c>
      <c r="F40" s="3">
        <f t="shared" si="0"/>
        <v>-4.1678983151049231E-2</v>
      </c>
      <c r="G40" s="3">
        <f t="shared" si="1"/>
        <v>-9.6491228070174628E-3</v>
      </c>
      <c r="H40" s="3">
        <f t="shared" si="2"/>
        <v>9.5396101202820383E-3</v>
      </c>
      <c r="I40" s="3">
        <f t="shared" si="3"/>
        <v>-2.4426122951660689E-3</v>
      </c>
      <c r="J40" s="13">
        <v>-0.95</v>
      </c>
      <c r="K40" s="12">
        <v>0.33</v>
      </c>
      <c r="L40" s="12">
        <v>0.17</v>
      </c>
      <c r="M40" s="21">
        <v>0.01</v>
      </c>
      <c r="N40" s="20">
        <f t="shared" si="4"/>
        <v>-5.1678983151049233E-2</v>
      </c>
      <c r="O40" s="20">
        <f t="shared" si="5"/>
        <v>-4.6038987971796196E-4</v>
      </c>
      <c r="P40" s="20">
        <f t="shared" si="6"/>
        <v>-1.9649122807017465E-2</v>
      </c>
      <c r="Q40" s="20">
        <f t="shared" si="7"/>
        <v>-1.2442612295166069E-2</v>
      </c>
    </row>
    <row r="41" spans="1:17" x14ac:dyDescent="0.2">
      <c r="A41" s="1">
        <v>44621</v>
      </c>
      <c r="B41">
        <v>124.79</v>
      </c>
      <c r="C41">
        <v>56.2</v>
      </c>
      <c r="D41">
        <v>23.44</v>
      </c>
      <c r="E41" s="2">
        <v>4306.26</v>
      </c>
      <c r="F41" s="3">
        <f t="shared" si="0"/>
        <v>-3.7708204811844559E-2</v>
      </c>
      <c r="G41" s="3">
        <f t="shared" si="1"/>
        <v>-4.4286979627989886E-3</v>
      </c>
      <c r="H41" s="3">
        <f t="shared" si="2"/>
        <v>-3.6976170912078832E-2</v>
      </c>
      <c r="I41" s="3">
        <f t="shared" si="3"/>
        <v>-1.5473463284818578E-2</v>
      </c>
      <c r="J41" s="12">
        <v>0.26</v>
      </c>
      <c r="K41" s="12">
        <v>0.11</v>
      </c>
      <c r="L41" s="11">
        <v>0</v>
      </c>
      <c r="M41" s="21">
        <v>0.01</v>
      </c>
      <c r="N41" s="20">
        <f t="shared" si="4"/>
        <v>-4.7708204811844561E-2</v>
      </c>
      <c r="O41" s="20">
        <f t="shared" si="5"/>
        <v>-4.6976170912078834E-2</v>
      </c>
      <c r="P41" s="20">
        <f t="shared" si="6"/>
        <v>-1.4428697962798989E-2</v>
      </c>
      <c r="Q41" s="20">
        <f t="shared" si="7"/>
        <v>-2.547346328481858E-2</v>
      </c>
    </row>
    <row r="42" spans="1:17" x14ac:dyDescent="0.2">
      <c r="A42" s="1">
        <v>44622</v>
      </c>
      <c r="B42">
        <v>127.37</v>
      </c>
      <c r="C42">
        <v>56.62</v>
      </c>
      <c r="D42">
        <v>24.18</v>
      </c>
      <c r="E42" s="2">
        <v>4386.54</v>
      </c>
      <c r="F42" s="3">
        <f t="shared" si="0"/>
        <v>2.0674733552368041E-2</v>
      </c>
      <c r="G42" s="3">
        <f t="shared" si="1"/>
        <v>7.4733096085408679E-3</v>
      </c>
      <c r="H42" s="3">
        <f t="shared" si="2"/>
        <v>3.1569965870307026E-2</v>
      </c>
      <c r="I42" s="3">
        <f t="shared" si="3"/>
        <v>1.8642627244987553E-2</v>
      </c>
      <c r="J42" s="14">
        <v>-0.6</v>
      </c>
      <c r="K42" s="12">
        <v>0.14000000000000001</v>
      </c>
      <c r="L42" s="12">
        <v>7.0000000000000007E-2</v>
      </c>
      <c r="M42" s="21">
        <v>0.01</v>
      </c>
      <c r="N42" s="20">
        <f t="shared" si="4"/>
        <v>1.0674733552368041E-2</v>
      </c>
      <c r="O42" s="20">
        <f t="shared" si="5"/>
        <v>2.1569965870307024E-2</v>
      </c>
      <c r="P42" s="20">
        <f t="shared" si="6"/>
        <v>-2.5266903914591323E-3</v>
      </c>
      <c r="Q42" s="20">
        <f t="shared" si="7"/>
        <v>8.6426272449875528E-3</v>
      </c>
    </row>
    <row r="43" spans="1:17" x14ac:dyDescent="0.2">
      <c r="A43" s="1">
        <v>44623</v>
      </c>
      <c r="B43">
        <v>126.47</v>
      </c>
      <c r="C43">
        <v>56.66</v>
      </c>
      <c r="D43">
        <v>23.68</v>
      </c>
      <c r="E43" s="2">
        <v>4363.49</v>
      </c>
      <c r="F43" s="3">
        <f t="shared" si="0"/>
        <v>-7.0660281070896724E-3</v>
      </c>
      <c r="G43" s="3">
        <f t="shared" si="1"/>
        <v>7.0646414694452986E-4</v>
      </c>
      <c r="H43" s="3">
        <f t="shared" si="2"/>
        <v>-2.0678246484698071E-2</v>
      </c>
      <c r="I43" s="3">
        <f t="shared" si="3"/>
        <v>-5.2547110022934662E-3</v>
      </c>
      <c r="J43" s="14">
        <v>-0.2</v>
      </c>
      <c r="K43" s="13">
        <v>-0.35</v>
      </c>
      <c r="L43" s="12">
        <v>0.41</v>
      </c>
      <c r="M43" s="21">
        <v>0.01</v>
      </c>
      <c r="N43" s="20">
        <f t="shared" si="4"/>
        <v>-1.7066028107089674E-2</v>
      </c>
      <c r="O43" s="20">
        <f t="shared" si="5"/>
        <v>-3.0678246484698073E-2</v>
      </c>
      <c r="P43" s="20">
        <f t="shared" si="6"/>
        <v>-9.2935358530554703E-3</v>
      </c>
      <c r="Q43" s="20">
        <f t="shared" si="7"/>
        <v>-1.5254711002293466E-2</v>
      </c>
    </row>
    <row r="44" spans="1:17" x14ac:dyDescent="0.2">
      <c r="A44" s="1">
        <v>44624</v>
      </c>
      <c r="B44">
        <v>122.91</v>
      </c>
      <c r="C44">
        <v>56.75</v>
      </c>
      <c r="D44">
        <v>22.9</v>
      </c>
      <c r="E44" s="2">
        <v>4328.87</v>
      </c>
      <c r="F44" s="3">
        <f t="shared" si="0"/>
        <v>-2.8148968134735552E-2</v>
      </c>
      <c r="G44" s="3">
        <f t="shared" si="1"/>
        <v>1.5884221673139187E-3</v>
      </c>
      <c r="H44" s="3">
        <f t="shared" si="2"/>
        <v>-3.2939189189189255E-2</v>
      </c>
      <c r="I44" s="3">
        <f t="shared" si="3"/>
        <v>-7.93401612012401E-3</v>
      </c>
      <c r="J44" s="12">
        <v>0.32</v>
      </c>
      <c r="K44" s="13">
        <v>-0.08</v>
      </c>
      <c r="L44" s="12">
        <v>0.54</v>
      </c>
      <c r="M44" s="21">
        <v>0.01</v>
      </c>
      <c r="N44" s="20">
        <f t="shared" si="4"/>
        <v>-3.8148968134735554E-2</v>
      </c>
      <c r="O44" s="20">
        <f t="shared" si="5"/>
        <v>-4.2939189189189257E-2</v>
      </c>
      <c r="P44" s="20">
        <f t="shared" si="6"/>
        <v>-8.4115778326860815E-3</v>
      </c>
      <c r="Q44" s="20">
        <f t="shared" si="7"/>
        <v>-1.7934016120124012E-2</v>
      </c>
    </row>
    <row r="45" spans="1:17" x14ac:dyDescent="0.2">
      <c r="A45" s="1">
        <v>44627</v>
      </c>
      <c r="B45">
        <v>118.16</v>
      </c>
      <c r="C45">
        <v>55.4</v>
      </c>
      <c r="D45">
        <v>21.32</v>
      </c>
      <c r="E45" s="2">
        <v>4201.09</v>
      </c>
      <c r="F45" s="3">
        <f t="shared" si="0"/>
        <v>-3.8646163859734739E-2</v>
      </c>
      <c r="G45" s="3">
        <f t="shared" si="1"/>
        <v>-2.3788546255506637E-2</v>
      </c>
      <c r="H45" s="3">
        <f t="shared" si="2"/>
        <v>-6.8995633187772909E-2</v>
      </c>
      <c r="I45" s="3">
        <f t="shared" si="3"/>
        <v>-2.9518095946517109E-2</v>
      </c>
      <c r="J45" s="12">
        <v>0.49</v>
      </c>
      <c r="K45" s="13">
        <v>-0.39</v>
      </c>
      <c r="L45" s="12">
        <v>0.48</v>
      </c>
      <c r="M45" s="21">
        <v>0.01</v>
      </c>
      <c r="N45" s="20">
        <f t="shared" si="4"/>
        <v>-4.8646163859734741E-2</v>
      </c>
      <c r="O45" s="20">
        <f t="shared" si="5"/>
        <v>-7.8995633187772904E-2</v>
      </c>
      <c r="P45" s="20">
        <f t="shared" si="6"/>
        <v>-3.3788546255506639E-2</v>
      </c>
      <c r="Q45" s="20">
        <f t="shared" si="7"/>
        <v>-3.9518095946517111E-2</v>
      </c>
    </row>
    <row r="46" spans="1:17" x14ac:dyDescent="0.2">
      <c r="A46" s="1">
        <v>44628</v>
      </c>
      <c r="B46">
        <v>117.33</v>
      </c>
      <c r="C46">
        <v>53.2</v>
      </c>
      <c r="D46">
        <v>21.48</v>
      </c>
      <c r="E46" s="2">
        <v>4170.7</v>
      </c>
      <c r="F46" s="3">
        <f t="shared" si="0"/>
        <v>-7.024373730534883E-3</v>
      </c>
      <c r="G46" s="3">
        <f t="shared" si="1"/>
        <v>-3.971119133573997E-2</v>
      </c>
      <c r="H46" s="3">
        <f t="shared" si="2"/>
        <v>7.5046904315196894E-3</v>
      </c>
      <c r="I46" s="3">
        <f t="shared" si="3"/>
        <v>-7.2338369327961116E-3</v>
      </c>
      <c r="J46" s="13">
        <v>-0.84</v>
      </c>
      <c r="K46" s="12">
        <v>0.48</v>
      </c>
      <c r="L46" s="13">
        <v>-7.0000000000000007E-2</v>
      </c>
      <c r="M46" s="21">
        <v>0.01</v>
      </c>
      <c r="N46" s="20">
        <f t="shared" si="4"/>
        <v>-1.7024373730534885E-2</v>
      </c>
      <c r="O46" s="20">
        <f t="shared" si="5"/>
        <v>-2.4953095684803108E-3</v>
      </c>
      <c r="P46" s="20">
        <f t="shared" si="6"/>
        <v>-4.9711191335739972E-2</v>
      </c>
      <c r="Q46" s="20">
        <f t="shared" si="7"/>
        <v>-1.7233836932796114E-2</v>
      </c>
    </row>
    <row r="47" spans="1:17" x14ac:dyDescent="0.2">
      <c r="A47" s="1">
        <v>44629</v>
      </c>
      <c r="B47">
        <v>122.03</v>
      </c>
      <c r="C47">
        <v>53.47</v>
      </c>
      <c r="D47">
        <v>22.98</v>
      </c>
      <c r="E47" s="2">
        <v>4277.88</v>
      </c>
      <c r="F47" s="3">
        <f t="shared" si="0"/>
        <v>4.0057956191937194E-2</v>
      </c>
      <c r="G47" s="3">
        <f t="shared" si="1"/>
        <v>5.0751879699246771E-3</v>
      </c>
      <c r="H47" s="3">
        <f t="shared" si="2"/>
        <v>6.9832402234636826E-2</v>
      </c>
      <c r="I47" s="3">
        <f t="shared" si="3"/>
        <v>2.5698324022346508E-2</v>
      </c>
      <c r="J47" s="13">
        <v>-0.32</v>
      </c>
      <c r="K47" s="14">
        <v>-0.4</v>
      </c>
      <c r="L47" s="12">
        <v>0.23</v>
      </c>
      <c r="M47" s="21">
        <v>0.01</v>
      </c>
      <c r="N47" s="20">
        <f t="shared" si="4"/>
        <v>3.0057956191937192E-2</v>
      </c>
      <c r="O47" s="20">
        <f t="shared" si="5"/>
        <v>5.9832402234636824E-2</v>
      </c>
      <c r="P47" s="20">
        <f t="shared" si="6"/>
        <v>-4.9248120300753231E-3</v>
      </c>
      <c r="Q47" s="20">
        <f t="shared" si="7"/>
        <v>1.5698324022346506E-2</v>
      </c>
    </row>
    <row r="48" spans="1:17" x14ac:dyDescent="0.2">
      <c r="A48" s="1">
        <v>44630</v>
      </c>
      <c r="B48">
        <v>120.59</v>
      </c>
      <c r="C48">
        <v>52.49</v>
      </c>
      <c r="D48">
        <v>22.62</v>
      </c>
      <c r="E48" s="2">
        <v>4259.5200000000004</v>
      </c>
      <c r="F48" s="3">
        <f t="shared" si="0"/>
        <v>-1.1800376956486058E-2</v>
      </c>
      <c r="G48" s="3">
        <f t="shared" si="1"/>
        <v>-1.8328034411819627E-2</v>
      </c>
      <c r="H48" s="3">
        <f t="shared" si="2"/>
        <v>-1.5665796344647487E-2</v>
      </c>
      <c r="I48" s="3">
        <f t="shared" si="3"/>
        <v>-4.2918454935622075E-3</v>
      </c>
      <c r="J48" s="12">
        <v>0.53</v>
      </c>
      <c r="K48" s="11">
        <v>0.1</v>
      </c>
      <c r="L48" s="12">
        <v>0.48</v>
      </c>
      <c r="M48" s="21">
        <v>0.01</v>
      </c>
      <c r="N48" s="20">
        <f t="shared" si="4"/>
        <v>-2.180037695648606E-2</v>
      </c>
      <c r="O48" s="20">
        <f t="shared" si="5"/>
        <v>-2.5665796344647489E-2</v>
      </c>
      <c r="P48" s="20">
        <f t="shared" si="6"/>
        <v>-2.8328034411819629E-2</v>
      </c>
      <c r="Q48" s="20">
        <f t="shared" si="7"/>
        <v>-1.4291845493562208E-2</v>
      </c>
    </row>
    <row r="49" spans="1:17" x14ac:dyDescent="0.2">
      <c r="A49" s="1">
        <v>44631</v>
      </c>
      <c r="B49">
        <v>117.87</v>
      </c>
      <c r="C49">
        <v>52.53</v>
      </c>
      <c r="D49">
        <v>22.07</v>
      </c>
      <c r="E49" s="2">
        <v>4204.3100000000004</v>
      </c>
      <c r="F49" s="3">
        <f t="shared" si="0"/>
        <v>-2.2555767476573507E-2</v>
      </c>
      <c r="G49" s="3">
        <f t="shared" si="1"/>
        <v>7.6204991426931379E-4</v>
      </c>
      <c r="H49" s="3">
        <f t="shared" si="2"/>
        <v>-2.431476569407609E-2</v>
      </c>
      <c r="I49" s="3">
        <f t="shared" si="3"/>
        <v>-1.2961554353542182E-2</v>
      </c>
      <c r="J49" s="12">
        <v>0.35</v>
      </c>
      <c r="K49" s="12">
        <v>0.15</v>
      </c>
      <c r="L49" s="13">
        <v>-0.42</v>
      </c>
      <c r="M49" s="21">
        <v>0.01</v>
      </c>
      <c r="N49" s="20">
        <f t="shared" si="4"/>
        <v>-3.2555767476573509E-2</v>
      </c>
      <c r="O49" s="20">
        <f t="shared" si="5"/>
        <v>-3.4314765694076092E-2</v>
      </c>
      <c r="P49" s="20">
        <f t="shared" si="6"/>
        <v>-9.2379500857306864E-3</v>
      </c>
      <c r="Q49" s="20">
        <f t="shared" si="7"/>
        <v>-2.2961554353542184E-2</v>
      </c>
    </row>
    <row r="50" spans="1:17" x14ac:dyDescent="0.2">
      <c r="A50" s="1">
        <v>44634</v>
      </c>
      <c r="B50">
        <v>119.04</v>
      </c>
      <c r="C50">
        <v>53.5</v>
      </c>
      <c r="D50">
        <v>21.3</v>
      </c>
      <c r="E50" s="2">
        <v>4173.1099999999997</v>
      </c>
      <c r="F50" s="3">
        <f t="shared" si="0"/>
        <v>9.9261898701958895E-3</v>
      </c>
      <c r="G50" s="3">
        <f t="shared" si="1"/>
        <v>1.8465638682657604E-2</v>
      </c>
      <c r="H50" s="3">
        <f t="shared" si="2"/>
        <v>-3.4888989578613527E-2</v>
      </c>
      <c r="I50" s="3">
        <f t="shared" si="3"/>
        <v>-7.4209561140831104E-3</v>
      </c>
      <c r="J50" s="12">
        <v>0.34</v>
      </c>
      <c r="K50" s="12">
        <v>0.13</v>
      </c>
      <c r="L50" s="13">
        <v>-0.04</v>
      </c>
      <c r="M50" s="21">
        <v>0.01</v>
      </c>
      <c r="N50" s="20">
        <f t="shared" si="4"/>
        <v>-7.3810129804110711E-5</v>
      </c>
      <c r="O50" s="20">
        <f t="shared" si="5"/>
        <v>-4.4888989578613529E-2</v>
      </c>
      <c r="P50" s="20">
        <f t="shared" si="6"/>
        <v>8.4656386826576033E-3</v>
      </c>
      <c r="Q50" s="20">
        <f t="shared" si="7"/>
        <v>-1.7420956114083112E-2</v>
      </c>
    </row>
    <row r="51" spans="1:17" x14ac:dyDescent="0.2">
      <c r="A51" s="1">
        <v>44635</v>
      </c>
      <c r="B51">
        <v>121.15</v>
      </c>
      <c r="C51">
        <v>54.49</v>
      </c>
      <c r="D51">
        <v>22.94</v>
      </c>
      <c r="E51" s="2">
        <v>4262.45</v>
      </c>
      <c r="F51" s="3">
        <f t="shared" si="0"/>
        <v>1.7725134408602239E-2</v>
      </c>
      <c r="G51" s="3">
        <f t="shared" si="1"/>
        <v>1.8504672897196262E-2</v>
      </c>
      <c r="H51" s="3">
        <f t="shared" si="2"/>
        <v>7.6995305164319294E-2</v>
      </c>
      <c r="I51" s="3">
        <f t="shared" si="3"/>
        <v>2.1408493905025416E-2</v>
      </c>
      <c r="J51" s="11">
        <v>0.3</v>
      </c>
      <c r="K51" s="12">
        <v>0.01</v>
      </c>
      <c r="L51" s="11">
        <v>0.4</v>
      </c>
      <c r="M51" s="21">
        <v>0.01</v>
      </c>
      <c r="N51" s="20">
        <f t="shared" si="4"/>
        <v>7.7251344086022387E-3</v>
      </c>
      <c r="O51" s="20">
        <f t="shared" si="5"/>
        <v>6.6995305164319299E-2</v>
      </c>
      <c r="P51" s="20">
        <f t="shared" si="6"/>
        <v>8.5046728971962613E-3</v>
      </c>
      <c r="Q51" s="20">
        <f t="shared" si="7"/>
        <v>1.1408493905025416E-2</v>
      </c>
    </row>
    <row r="52" spans="1:17" x14ac:dyDescent="0.2">
      <c r="A52" s="1">
        <v>44636</v>
      </c>
      <c r="B52">
        <v>126.57</v>
      </c>
      <c r="C52">
        <v>54.34</v>
      </c>
      <c r="D52">
        <v>24.46</v>
      </c>
      <c r="E52" s="2">
        <v>4357.8599999999997</v>
      </c>
      <c r="F52" s="3">
        <f t="shared" si="0"/>
        <v>4.473792818819633E-2</v>
      </c>
      <c r="G52" s="3">
        <f t="shared" si="1"/>
        <v>-2.7527986786566316E-3</v>
      </c>
      <c r="H52" s="3">
        <f t="shared" si="2"/>
        <v>6.6259808195292091E-2</v>
      </c>
      <c r="I52" s="3">
        <f t="shared" si="3"/>
        <v>2.2383840279651235E-2</v>
      </c>
      <c r="J52" s="12">
        <v>0.57999999999999996</v>
      </c>
      <c r="K52" s="13">
        <v>-0.52</v>
      </c>
      <c r="L52" s="13">
        <v>-0.04</v>
      </c>
      <c r="M52" s="21">
        <v>0.01</v>
      </c>
      <c r="N52" s="20">
        <f t="shared" si="4"/>
        <v>3.4737928188196328E-2</v>
      </c>
      <c r="O52" s="20">
        <f t="shared" si="5"/>
        <v>5.6259808195292089E-2</v>
      </c>
      <c r="P52" s="20">
        <f t="shared" si="6"/>
        <v>-1.2752798678656632E-2</v>
      </c>
      <c r="Q52" s="20">
        <f t="shared" si="7"/>
        <v>1.2383840279651235E-2</v>
      </c>
    </row>
    <row r="53" spans="1:17" x14ac:dyDescent="0.2">
      <c r="A53" s="1">
        <v>44637</v>
      </c>
      <c r="B53">
        <v>128.16999999999999</v>
      </c>
      <c r="C53">
        <v>54.92</v>
      </c>
      <c r="D53">
        <v>24.73</v>
      </c>
      <c r="E53" s="2">
        <v>4411.67</v>
      </c>
      <c r="F53" s="3">
        <f t="shared" si="0"/>
        <v>1.2641226198941258E-2</v>
      </c>
      <c r="G53" s="3">
        <f t="shared" si="1"/>
        <v>1.0673536989326493E-2</v>
      </c>
      <c r="H53" s="3">
        <f t="shared" si="2"/>
        <v>1.1038430089942652E-2</v>
      </c>
      <c r="I53" s="3">
        <f t="shared" si="3"/>
        <v>1.2347803738532281E-2</v>
      </c>
      <c r="J53" s="12">
        <v>0.55000000000000004</v>
      </c>
      <c r="K53" s="12">
        <v>0.54</v>
      </c>
      <c r="L53" s="13">
        <v>-0.11</v>
      </c>
      <c r="M53" s="20">
        <v>8.9999999999999993E-3</v>
      </c>
      <c r="N53" s="20">
        <f t="shared" si="4"/>
        <v>3.6412261989412584E-3</v>
      </c>
      <c r="O53" s="20">
        <f t="shared" si="5"/>
        <v>2.0384300899426531E-3</v>
      </c>
      <c r="P53" s="20">
        <f t="shared" si="6"/>
        <v>1.6735369893264938E-3</v>
      </c>
      <c r="Q53" s="20">
        <f t="shared" si="7"/>
        <v>3.3478037385322821E-3</v>
      </c>
    </row>
    <row r="54" spans="1:17" x14ac:dyDescent="0.2">
      <c r="A54" s="1">
        <v>44638</v>
      </c>
      <c r="B54">
        <v>128.12</v>
      </c>
      <c r="C54">
        <v>54.93</v>
      </c>
      <c r="D54">
        <v>26.41</v>
      </c>
      <c r="E54" s="2">
        <v>4463.12</v>
      </c>
      <c r="F54" s="3">
        <f t="shared" si="0"/>
        <v>-3.9010688928753368E-4</v>
      </c>
      <c r="G54" s="3">
        <f t="shared" si="1"/>
        <v>1.8208302986155722E-4</v>
      </c>
      <c r="H54" s="3">
        <f t="shared" si="2"/>
        <v>6.7933683784876742E-2</v>
      </c>
      <c r="I54" s="3">
        <f t="shared" si="3"/>
        <v>1.1662250349640857E-2</v>
      </c>
      <c r="J54" s="13">
        <v>-0.06</v>
      </c>
      <c r="K54" s="13">
        <v>-0.15</v>
      </c>
      <c r="L54" s="12">
        <v>0.34</v>
      </c>
      <c r="M54" s="20">
        <v>8.9999999999999993E-3</v>
      </c>
      <c r="N54" s="20">
        <f t="shared" si="4"/>
        <v>-9.390106889287533E-3</v>
      </c>
      <c r="O54" s="20">
        <f t="shared" si="5"/>
        <v>5.8933683784876741E-2</v>
      </c>
      <c r="P54" s="20">
        <f t="shared" si="6"/>
        <v>-8.8179169701384421E-3</v>
      </c>
      <c r="Q54" s="20">
        <f t="shared" si="7"/>
        <v>2.6622503496408576E-3</v>
      </c>
    </row>
    <row r="55" spans="1:17" x14ac:dyDescent="0.2">
      <c r="A55" s="1">
        <v>44641</v>
      </c>
      <c r="B55">
        <v>127.71</v>
      </c>
      <c r="C55">
        <v>55.36</v>
      </c>
      <c r="D55">
        <v>26.69</v>
      </c>
      <c r="E55" s="2">
        <v>4461.18</v>
      </c>
      <c r="F55" s="3">
        <f t="shared" si="0"/>
        <v>-3.2001248829223172E-3</v>
      </c>
      <c r="G55" s="3">
        <f t="shared" si="1"/>
        <v>7.8281449117056923E-3</v>
      </c>
      <c r="H55" s="3">
        <f t="shared" si="2"/>
        <v>1.0602044680045442E-2</v>
      </c>
      <c r="I55" s="3">
        <f t="shared" si="3"/>
        <v>-4.3467350194470455E-4</v>
      </c>
      <c r="J55" s="11">
        <v>0.5</v>
      </c>
      <c r="K55" s="13">
        <v>-0.28000000000000003</v>
      </c>
      <c r="L55" s="11">
        <v>0</v>
      </c>
      <c r="M55" s="20">
        <v>8.9999999999999993E-3</v>
      </c>
      <c r="N55" s="20">
        <f t="shared" si="4"/>
        <v>-1.2200124882922317E-2</v>
      </c>
      <c r="O55" s="20">
        <f t="shared" si="5"/>
        <v>1.6020446800454422E-3</v>
      </c>
      <c r="P55" s="20">
        <f t="shared" si="6"/>
        <v>-1.1718550882943071E-3</v>
      </c>
      <c r="Q55" s="20">
        <f t="shared" si="7"/>
        <v>-9.4346735019447039E-3</v>
      </c>
    </row>
    <row r="56" spans="1:17" x14ac:dyDescent="0.2">
      <c r="A56" s="1">
        <v>44642</v>
      </c>
      <c r="B56">
        <v>130.43</v>
      </c>
      <c r="C56">
        <v>55.57</v>
      </c>
      <c r="D56">
        <v>26.48</v>
      </c>
      <c r="E56" s="2">
        <v>4511.6099999999997</v>
      </c>
      <c r="F56" s="3">
        <f t="shared" si="0"/>
        <v>2.1298253856393501E-2</v>
      </c>
      <c r="G56" s="3">
        <f t="shared" si="1"/>
        <v>3.7933526011559859E-3</v>
      </c>
      <c r="H56" s="3">
        <f t="shared" si="2"/>
        <v>-7.8681153990258768E-3</v>
      </c>
      <c r="I56" s="3">
        <f t="shared" si="3"/>
        <v>1.1304184094790948E-2</v>
      </c>
      <c r="J56" s="12">
        <v>0.59</v>
      </c>
      <c r="K56" s="13">
        <v>-0.26</v>
      </c>
      <c r="L56" s="13">
        <v>-0.23</v>
      </c>
      <c r="M56" s="20">
        <v>8.9999999999999993E-3</v>
      </c>
      <c r="N56" s="20">
        <f t="shared" si="4"/>
        <v>1.2298253856393502E-2</v>
      </c>
      <c r="O56" s="20">
        <f t="shared" si="5"/>
        <v>-1.6868115399025878E-2</v>
      </c>
      <c r="P56" s="20">
        <f t="shared" si="6"/>
        <v>-5.2066473988440134E-3</v>
      </c>
      <c r="Q56" s="20">
        <f t="shared" si="7"/>
        <v>2.3041840947909484E-3</v>
      </c>
    </row>
    <row r="57" spans="1:17" x14ac:dyDescent="0.2">
      <c r="A57" s="1">
        <v>44643</v>
      </c>
      <c r="B57">
        <v>127.83</v>
      </c>
      <c r="C57">
        <v>55.2</v>
      </c>
      <c r="D57">
        <v>25.59</v>
      </c>
      <c r="E57" s="2">
        <v>4456.24</v>
      </c>
      <c r="F57" s="3">
        <f t="shared" si="0"/>
        <v>-1.9934064249022554E-2</v>
      </c>
      <c r="G57" s="3">
        <f t="shared" si="1"/>
        <v>-6.6582688500989029E-3</v>
      </c>
      <c r="H57" s="3">
        <f t="shared" si="2"/>
        <v>-3.361027190332333E-2</v>
      </c>
      <c r="I57" s="3">
        <f t="shared" si="3"/>
        <v>-1.2272780670315009E-2</v>
      </c>
      <c r="J57" s="13">
        <v>-0.51</v>
      </c>
      <c r="K57" s="13">
        <v>-0.09</v>
      </c>
      <c r="L57" s="12">
        <v>0.05</v>
      </c>
      <c r="M57" s="20">
        <v>8.9999999999999993E-3</v>
      </c>
      <c r="N57" s="20">
        <f t="shared" si="4"/>
        <v>-2.8934064249022555E-2</v>
      </c>
      <c r="O57" s="20">
        <f t="shared" si="5"/>
        <v>-4.2610271903323331E-2</v>
      </c>
      <c r="P57" s="20">
        <f t="shared" si="6"/>
        <v>-1.5658268850098904E-2</v>
      </c>
      <c r="Q57" s="20">
        <f t="shared" si="7"/>
        <v>-2.127278067031501E-2</v>
      </c>
    </row>
    <row r="58" spans="1:17" x14ac:dyDescent="0.2">
      <c r="A58" s="1">
        <v>44644</v>
      </c>
      <c r="B58">
        <v>128.66</v>
      </c>
      <c r="C58">
        <v>55.73</v>
      </c>
      <c r="D58">
        <v>28.11</v>
      </c>
      <c r="E58" s="2">
        <v>4520.16</v>
      </c>
      <c r="F58" s="3">
        <f t="shared" si="0"/>
        <v>6.4929985136510382E-3</v>
      </c>
      <c r="G58" s="3">
        <f t="shared" si="1"/>
        <v>9.6014492753622172E-3</v>
      </c>
      <c r="H58" s="3">
        <f t="shared" si="2"/>
        <v>9.8475967174677548E-2</v>
      </c>
      <c r="I58" s="3">
        <f t="shared" si="3"/>
        <v>1.4343931206577842E-2</v>
      </c>
      <c r="J58" s="13">
        <v>-7.0000000000000007E-2</v>
      </c>
      <c r="K58" s="12">
        <v>0.19</v>
      </c>
      <c r="L58" s="12">
        <v>0.22</v>
      </c>
      <c r="M58" s="20">
        <v>8.9999999999999993E-3</v>
      </c>
      <c r="N58" s="20">
        <f t="shared" si="4"/>
        <v>-2.5070014863489611E-3</v>
      </c>
      <c r="O58" s="20">
        <f t="shared" si="5"/>
        <v>8.9475967174677554E-2</v>
      </c>
      <c r="P58" s="20">
        <f t="shared" si="6"/>
        <v>6.0144927536221783E-4</v>
      </c>
      <c r="Q58" s="20">
        <f t="shared" si="7"/>
        <v>5.3439312065778431E-3</v>
      </c>
    </row>
    <row r="59" spans="1:17" x14ac:dyDescent="0.2">
      <c r="A59" s="1">
        <v>44645</v>
      </c>
      <c r="B59">
        <v>129.79</v>
      </c>
      <c r="C59">
        <v>56.23</v>
      </c>
      <c r="D59">
        <v>27.65</v>
      </c>
      <c r="E59" s="2">
        <v>4543.0600000000004</v>
      </c>
      <c r="F59" s="3">
        <f t="shared" si="0"/>
        <v>8.7828384890409339E-3</v>
      </c>
      <c r="G59" s="3">
        <f t="shared" si="1"/>
        <v>8.9718284586399744E-3</v>
      </c>
      <c r="H59" s="3">
        <f t="shared" si="2"/>
        <v>-1.6364283173248007E-2</v>
      </c>
      <c r="I59" s="3">
        <f t="shared" si="3"/>
        <v>5.0661923471737591E-3</v>
      </c>
      <c r="J59" s="13">
        <v>-0.83</v>
      </c>
      <c r="K59" s="12">
        <v>0.08</v>
      </c>
      <c r="L59" s="14">
        <v>-0.1</v>
      </c>
      <c r="M59" s="20">
        <v>8.9999999999999993E-3</v>
      </c>
      <c r="N59" s="20">
        <f t="shared" si="4"/>
        <v>-2.1716151095906543E-4</v>
      </c>
      <c r="O59" s="20">
        <f t="shared" si="5"/>
        <v>-2.5364283173248008E-2</v>
      </c>
      <c r="P59" s="20">
        <f t="shared" si="6"/>
        <v>-2.8171541360024963E-5</v>
      </c>
      <c r="Q59" s="20">
        <f t="shared" si="7"/>
        <v>-3.9338076528262402E-3</v>
      </c>
    </row>
    <row r="60" spans="1:17" x14ac:dyDescent="0.2">
      <c r="A60" s="1">
        <v>44648</v>
      </c>
      <c r="B60">
        <v>128.83000000000001</v>
      </c>
      <c r="C60">
        <v>56.59</v>
      </c>
      <c r="D60">
        <v>28.17</v>
      </c>
      <c r="E60" s="2">
        <v>4575.5200000000004</v>
      </c>
      <c r="F60" s="3">
        <f t="shared" si="0"/>
        <v>-7.3965636797902468E-3</v>
      </c>
      <c r="G60" s="3">
        <f t="shared" si="1"/>
        <v>6.4022763649298486E-3</v>
      </c>
      <c r="H60" s="3">
        <f t="shared" si="2"/>
        <v>1.8806509945750616E-2</v>
      </c>
      <c r="I60" s="3">
        <f t="shared" si="3"/>
        <v>7.1449639670178033E-3</v>
      </c>
      <c r="J60" s="13">
        <v>-0.44</v>
      </c>
      <c r="K60" s="12">
        <v>0.32</v>
      </c>
      <c r="L60" s="12">
        <v>0.13</v>
      </c>
      <c r="M60" s="20">
        <v>8.9999999999999993E-3</v>
      </c>
      <c r="N60" s="20">
        <f t="shared" si="4"/>
        <v>-1.6396563679790248E-2</v>
      </c>
      <c r="O60" s="20">
        <f t="shared" si="5"/>
        <v>9.8065099457506164E-3</v>
      </c>
      <c r="P60" s="20">
        <f t="shared" si="6"/>
        <v>-2.5977236350701507E-3</v>
      </c>
      <c r="Q60" s="20">
        <f t="shared" si="7"/>
        <v>-1.855036032982196E-3</v>
      </c>
    </row>
    <row r="61" spans="1:17" x14ac:dyDescent="0.2">
      <c r="A61" s="1">
        <v>44649</v>
      </c>
      <c r="B61">
        <v>129.11000000000001</v>
      </c>
      <c r="C61">
        <v>56.81</v>
      </c>
      <c r="D61">
        <v>28.61</v>
      </c>
      <c r="E61" s="2">
        <v>4631.6000000000004</v>
      </c>
      <c r="F61" s="3">
        <f t="shared" si="0"/>
        <v>2.1734068151828545E-3</v>
      </c>
      <c r="G61" s="3">
        <f t="shared" si="1"/>
        <v>3.8876126524121091E-3</v>
      </c>
      <c r="H61" s="3">
        <f t="shared" si="2"/>
        <v>1.5619453319133836E-2</v>
      </c>
      <c r="I61" s="3">
        <f t="shared" si="3"/>
        <v>1.2256530405287291E-2</v>
      </c>
      <c r="J61" s="13">
        <v>-0.03</v>
      </c>
      <c r="K61" s="14">
        <v>-0.1</v>
      </c>
      <c r="L61" s="12">
        <v>0.48</v>
      </c>
      <c r="M61" s="20">
        <v>8.9999999999999993E-3</v>
      </c>
      <c r="N61" s="20">
        <f t="shared" si="4"/>
        <v>-6.8265931848171448E-3</v>
      </c>
      <c r="O61" s="20">
        <f t="shared" si="5"/>
        <v>6.6194533191338365E-3</v>
      </c>
      <c r="P61" s="20">
        <f t="shared" si="6"/>
        <v>-5.1123873475878902E-3</v>
      </c>
      <c r="Q61" s="20">
        <f t="shared" si="7"/>
        <v>3.2565304052872921E-3</v>
      </c>
    </row>
    <row r="62" spans="1:17" x14ac:dyDescent="0.2">
      <c r="A62" s="1">
        <v>44650</v>
      </c>
      <c r="B62">
        <v>128.53</v>
      </c>
      <c r="C62">
        <v>56.85</v>
      </c>
      <c r="D62">
        <v>27.65</v>
      </c>
      <c r="E62" s="2">
        <v>4602.45</v>
      </c>
      <c r="F62" s="3">
        <f t="shared" si="0"/>
        <v>-4.4922933932306508E-3</v>
      </c>
      <c r="G62" s="3">
        <f t="shared" si="1"/>
        <v>7.0410139060017585E-4</v>
      </c>
      <c r="H62" s="3">
        <f t="shared" si="2"/>
        <v>-3.3554701153442834E-2</v>
      </c>
      <c r="I62" s="3">
        <f t="shared" si="3"/>
        <v>-6.2937213921756552E-3</v>
      </c>
      <c r="J62" s="11">
        <v>0.9</v>
      </c>
      <c r="K62" s="13">
        <v>-0.64</v>
      </c>
      <c r="L62" s="12">
        <v>0.13</v>
      </c>
      <c r="M62" s="20">
        <v>8.9999999999999993E-3</v>
      </c>
      <c r="N62" s="20">
        <f t="shared" si="4"/>
        <v>-1.349229339323065E-2</v>
      </c>
      <c r="O62" s="20">
        <f t="shared" si="5"/>
        <v>-4.2554701153442835E-2</v>
      </c>
      <c r="P62" s="20">
        <f t="shared" si="6"/>
        <v>-8.2958986093998235E-3</v>
      </c>
      <c r="Q62" s="20">
        <f t="shared" si="7"/>
        <v>-1.5293721392175655E-2</v>
      </c>
    </row>
    <row r="63" spans="1:17" x14ac:dyDescent="0.2">
      <c r="A63" s="1">
        <v>44651</v>
      </c>
      <c r="B63">
        <v>124.67</v>
      </c>
      <c r="C63">
        <v>56.66</v>
      </c>
      <c r="D63">
        <v>27.24</v>
      </c>
      <c r="E63" s="2">
        <v>4530.41</v>
      </c>
      <c r="F63" s="3">
        <f t="shared" si="0"/>
        <v>-3.0031899167509479E-2</v>
      </c>
      <c r="G63" s="3">
        <f t="shared" si="1"/>
        <v>-3.3421284080915603E-3</v>
      </c>
      <c r="H63" s="3">
        <f t="shared" si="2"/>
        <v>-1.482820976491861E-2</v>
      </c>
      <c r="I63" s="3">
        <f t="shared" si="3"/>
        <v>-1.5652532890091164E-2</v>
      </c>
      <c r="J63" s="13">
        <v>-0.21</v>
      </c>
      <c r="K63" s="12">
        <v>0.38</v>
      </c>
      <c r="L63" s="13">
        <v>-0.15</v>
      </c>
      <c r="M63" s="20">
        <v>8.9999999999999993E-3</v>
      </c>
      <c r="N63" s="20">
        <f t="shared" si="4"/>
        <v>-3.903189916750948E-2</v>
      </c>
      <c r="O63" s="20">
        <f t="shared" si="5"/>
        <v>-2.3828209764918611E-2</v>
      </c>
      <c r="P63" s="20">
        <f t="shared" si="6"/>
        <v>-1.234212840809156E-2</v>
      </c>
      <c r="Q63" s="20">
        <f t="shared" si="7"/>
        <v>-2.4652532890091165E-2</v>
      </c>
    </row>
    <row r="64" spans="1:17" x14ac:dyDescent="0.2">
      <c r="A64" s="1">
        <v>44652</v>
      </c>
      <c r="B64">
        <v>123.74</v>
      </c>
      <c r="C64">
        <v>57.46</v>
      </c>
      <c r="D64">
        <v>26.67</v>
      </c>
      <c r="E64" s="2">
        <v>4545.8599999999997</v>
      </c>
      <c r="F64" s="3">
        <f t="shared" si="0"/>
        <v>-7.4596935910804518E-3</v>
      </c>
      <c r="G64" s="3">
        <f t="shared" si="1"/>
        <v>1.4119308153900612E-2</v>
      </c>
      <c r="H64" s="3">
        <f t="shared" si="2"/>
        <v>-2.0925110132158475E-2</v>
      </c>
      <c r="I64" s="3">
        <f t="shared" si="3"/>
        <v>3.4102873691344016E-3</v>
      </c>
      <c r="J64" s="13">
        <v>-0.18</v>
      </c>
      <c r="K64" s="14">
        <v>-0.3</v>
      </c>
      <c r="L64" s="12">
        <v>0.05</v>
      </c>
      <c r="M64" s="20">
        <v>8.9999999999999993E-3</v>
      </c>
      <c r="N64" s="20">
        <f t="shared" si="4"/>
        <v>-1.6459693591080453E-2</v>
      </c>
      <c r="O64" s="20">
        <f t="shared" si="5"/>
        <v>-2.9925110132158476E-2</v>
      </c>
      <c r="P64" s="20">
        <f t="shared" si="6"/>
        <v>5.1193081539006122E-3</v>
      </c>
      <c r="Q64" s="20">
        <f t="shared" si="7"/>
        <v>-5.5897126308655978E-3</v>
      </c>
    </row>
    <row r="65" spans="1:17" x14ac:dyDescent="0.2">
      <c r="A65" s="1">
        <v>44655</v>
      </c>
      <c r="B65">
        <v>124.29</v>
      </c>
      <c r="C65">
        <v>57.16</v>
      </c>
      <c r="D65">
        <v>27.32</v>
      </c>
      <c r="E65" s="2">
        <v>4582.6400000000003</v>
      </c>
      <c r="F65" s="3">
        <f t="shared" si="0"/>
        <v>4.4448036204947083E-3</v>
      </c>
      <c r="G65" s="3">
        <f t="shared" si="1"/>
        <v>-5.22102332057095E-3</v>
      </c>
      <c r="H65" s="3">
        <f t="shared" si="2"/>
        <v>2.4371953505811783E-2</v>
      </c>
      <c r="I65" s="3">
        <f t="shared" si="3"/>
        <v>8.0908782936564005E-3</v>
      </c>
      <c r="J65" s="17">
        <v>-1.01</v>
      </c>
      <c r="K65" s="13">
        <v>-0.21</v>
      </c>
      <c r="L65" s="13">
        <v>-0.21</v>
      </c>
      <c r="M65" s="20">
        <v>8.9999999999999993E-3</v>
      </c>
      <c r="N65" s="20">
        <f t="shared" si="4"/>
        <v>-4.555196379505291E-3</v>
      </c>
      <c r="O65" s="20">
        <f t="shared" si="5"/>
        <v>1.5371953505811784E-2</v>
      </c>
      <c r="P65" s="20">
        <f t="shared" si="6"/>
        <v>-1.4221023320570949E-2</v>
      </c>
      <c r="Q65" s="20">
        <f t="shared" si="7"/>
        <v>-9.0912170634359878E-4</v>
      </c>
    </row>
    <row r="66" spans="1:17" x14ac:dyDescent="0.2">
      <c r="A66" s="1">
        <v>44656</v>
      </c>
      <c r="B66">
        <v>122.85</v>
      </c>
      <c r="C66">
        <v>57.09</v>
      </c>
      <c r="D66">
        <v>25.89</v>
      </c>
      <c r="E66" s="2">
        <v>4525.12</v>
      </c>
      <c r="F66" s="3">
        <f t="shared" si="0"/>
        <v>-1.1585807385952274E-2</v>
      </c>
      <c r="G66" s="3">
        <f t="shared" si="1"/>
        <v>-1.2246326102167693E-3</v>
      </c>
      <c r="H66" s="3">
        <f t="shared" si="2"/>
        <v>-5.2342606149341164E-2</v>
      </c>
      <c r="I66" s="3">
        <f t="shared" si="3"/>
        <v>-1.2551716914267819E-2</v>
      </c>
      <c r="J66" s="11">
        <v>0.7</v>
      </c>
      <c r="K66" s="13">
        <v>-0.25</v>
      </c>
      <c r="L66" s="13">
        <v>-0.17</v>
      </c>
      <c r="M66" s="20">
        <v>8.9999999999999993E-3</v>
      </c>
      <c r="N66" s="20">
        <f t="shared" si="4"/>
        <v>-2.0585807385952275E-2</v>
      </c>
      <c r="O66" s="20">
        <f t="shared" si="5"/>
        <v>-6.1342606149341165E-2</v>
      </c>
      <c r="P66" s="20">
        <f t="shared" si="6"/>
        <v>-1.0224632610216769E-2</v>
      </c>
      <c r="Q66" s="20">
        <f t="shared" si="7"/>
        <v>-2.155171691426782E-2</v>
      </c>
    </row>
    <row r="67" spans="1:17" x14ac:dyDescent="0.2">
      <c r="A67" s="1">
        <v>44657</v>
      </c>
      <c r="B67">
        <v>121.14</v>
      </c>
      <c r="C67">
        <v>57.67</v>
      </c>
      <c r="D67">
        <v>24.37</v>
      </c>
      <c r="E67" s="2">
        <v>4481.1499999999996</v>
      </c>
      <c r="F67" s="3">
        <f t="shared" si="0"/>
        <v>-1.391941391941387E-2</v>
      </c>
      <c r="G67" s="3">
        <f t="shared" si="1"/>
        <v>1.0159397442634388E-2</v>
      </c>
      <c r="H67" s="3">
        <f t="shared" si="2"/>
        <v>-5.8709926612591667E-2</v>
      </c>
      <c r="I67" s="3">
        <f t="shared" si="3"/>
        <v>-9.7168693868892042E-3</v>
      </c>
      <c r="J67" s="13">
        <v>-0.64</v>
      </c>
      <c r="K67" s="12">
        <v>0.04</v>
      </c>
      <c r="L67" s="13">
        <v>-0.02</v>
      </c>
      <c r="M67" s="20">
        <v>8.9999999999999993E-3</v>
      </c>
      <c r="N67" s="20">
        <f t="shared" si="4"/>
        <v>-2.2919413919413871E-2</v>
      </c>
      <c r="O67" s="20">
        <f t="shared" si="5"/>
        <v>-6.7709926612591662E-2</v>
      </c>
      <c r="P67" s="20">
        <f t="shared" si="6"/>
        <v>1.1593974426343887E-3</v>
      </c>
      <c r="Q67" s="20">
        <f t="shared" si="7"/>
        <v>-1.8716869386889205E-2</v>
      </c>
    </row>
    <row r="68" spans="1:17" x14ac:dyDescent="0.2">
      <c r="A68" s="1">
        <v>44658</v>
      </c>
      <c r="B68">
        <v>120.77</v>
      </c>
      <c r="C68">
        <v>57.98</v>
      </c>
      <c r="D68">
        <v>24.17</v>
      </c>
      <c r="E68" s="2">
        <v>4500.21</v>
      </c>
      <c r="F68" s="3">
        <f t="shared" ref="F68:F131" si="8">(B68/B67)-1</f>
        <v>-3.0543173188046779E-3</v>
      </c>
      <c r="G68" s="3">
        <f t="shared" ref="G68:G131" si="9">(C68/C67)-1</f>
        <v>5.3754118259059513E-3</v>
      </c>
      <c r="H68" s="3">
        <f t="shared" ref="H68:H131" si="10">(D68/D67)-1</f>
        <v>-8.2068116536725411E-3</v>
      </c>
      <c r="I68" s="3">
        <f t="shared" ref="I68:I131" si="11">(E68/E67)-1</f>
        <v>4.2533724601945266E-3</v>
      </c>
      <c r="J68" s="11">
        <v>0.3</v>
      </c>
      <c r="K68" s="13">
        <v>-0.39</v>
      </c>
      <c r="L68" s="12">
        <v>0.15</v>
      </c>
      <c r="M68" s="20">
        <v>8.9999999999999993E-3</v>
      </c>
      <c r="N68" s="20">
        <f t="shared" ref="N68:N131" si="12">F68-M68</f>
        <v>-1.2054317318804677E-2</v>
      </c>
      <c r="O68" s="20">
        <f t="shared" ref="O68:O131" si="13">H68-M68</f>
        <v>-1.7206811653672542E-2</v>
      </c>
      <c r="P68" s="20">
        <f t="shared" ref="P68:P131" si="14">G68-M68</f>
        <v>-3.624588174094048E-3</v>
      </c>
      <c r="Q68" s="20">
        <f t="shared" ref="Q68:Q131" si="15">I68-M68</f>
        <v>-4.7466275398054727E-3</v>
      </c>
    </row>
    <row r="69" spans="1:17" x14ac:dyDescent="0.2">
      <c r="A69" s="1">
        <v>44659</v>
      </c>
      <c r="B69">
        <v>122.98</v>
      </c>
      <c r="C69">
        <v>58.33</v>
      </c>
      <c r="D69">
        <v>23.08</v>
      </c>
      <c r="E69" s="2">
        <v>4488.28</v>
      </c>
      <c r="F69" s="3">
        <f t="shared" si="8"/>
        <v>1.8299246501614741E-2</v>
      </c>
      <c r="G69" s="3">
        <f t="shared" si="9"/>
        <v>6.0365643325284157E-3</v>
      </c>
      <c r="H69" s="3">
        <f t="shared" si="10"/>
        <v>-4.5097227968556197E-2</v>
      </c>
      <c r="I69" s="3">
        <f t="shared" si="11"/>
        <v>-2.6509873983658894E-3</v>
      </c>
      <c r="J69" s="13">
        <v>-0.13</v>
      </c>
      <c r="K69" s="12">
        <v>0.01</v>
      </c>
      <c r="L69" s="12">
        <v>0.06</v>
      </c>
      <c r="M69" s="20">
        <v>8.9999999999999993E-3</v>
      </c>
      <c r="N69" s="20">
        <f t="shared" si="12"/>
        <v>9.2992465016147417E-3</v>
      </c>
      <c r="O69" s="20">
        <f t="shared" si="13"/>
        <v>-5.4097227968556198E-2</v>
      </c>
      <c r="P69" s="20">
        <f t="shared" si="14"/>
        <v>-2.9634356674715836E-3</v>
      </c>
      <c r="Q69" s="20">
        <f t="shared" si="15"/>
        <v>-1.1650987398365889E-2</v>
      </c>
    </row>
    <row r="70" spans="1:17" x14ac:dyDescent="0.2">
      <c r="A70" s="1">
        <v>44662</v>
      </c>
      <c r="B70">
        <v>122.53</v>
      </c>
      <c r="C70">
        <v>58.32</v>
      </c>
      <c r="D70">
        <v>21.88</v>
      </c>
      <c r="E70" s="2">
        <v>4412.53</v>
      </c>
      <c r="F70" s="3">
        <f t="shared" si="8"/>
        <v>-3.659131566108309E-3</v>
      </c>
      <c r="G70" s="3">
        <f t="shared" si="9"/>
        <v>-1.7143836790667333E-4</v>
      </c>
      <c r="H70" s="3">
        <f t="shared" si="10"/>
        <v>-5.1993067590987874E-2</v>
      </c>
      <c r="I70" s="3">
        <f t="shared" si="11"/>
        <v>-1.6877289295676778E-2</v>
      </c>
      <c r="J70" s="12">
        <v>0.26</v>
      </c>
      <c r="K70" s="13">
        <v>-0.14000000000000001</v>
      </c>
      <c r="L70" s="12">
        <v>0.03</v>
      </c>
      <c r="M70" s="20">
        <v>8.9999999999999993E-3</v>
      </c>
      <c r="N70" s="20">
        <f t="shared" si="12"/>
        <v>-1.2659131566108308E-2</v>
      </c>
      <c r="O70" s="20">
        <f t="shared" si="13"/>
        <v>-6.0993067590987875E-2</v>
      </c>
      <c r="P70" s="20">
        <f t="shared" si="14"/>
        <v>-9.1714383679066726E-3</v>
      </c>
      <c r="Q70" s="20">
        <f t="shared" si="15"/>
        <v>-2.5877289295676779E-2</v>
      </c>
    </row>
    <row r="71" spans="1:17" x14ac:dyDescent="0.2">
      <c r="A71" s="1">
        <v>44663</v>
      </c>
      <c r="B71">
        <v>121.19</v>
      </c>
      <c r="C71">
        <v>59</v>
      </c>
      <c r="D71">
        <v>21.47</v>
      </c>
      <c r="E71" s="2">
        <v>4397.45</v>
      </c>
      <c r="F71" s="3">
        <f t="shared" si="8"/>
        <v>-1.0936097282298274E-2</v>
      </c>
      <c r="G71" s="3">
        <f t="shared" si="9"/>
        <v>1.1659807956104329E-2</v>
      </c>
      <c r="H71" s="3">
        <f t="shared" si="10"/>
        <v>-1.8738574040219391E-2</v>
      </c>
      <c r="I71" s="3">
        <f t="shared" si="11"/>
        <v>-3.4175405039739148E-3</v>
      </c>
      <c r="J71" s="12">
        <v>0.62</v>
      </c>
      <c r="K71" s="13">
        <v>-0.16</v>
      </c>
      <c r="L71" s="13">
        <v>-0.09</v>
      </c>
      <c r="M71" s="20">
        <v>8.9999999999999993E-3</v>
      </c>
      <c r="N71" s="20">
        <f t="shared" si="12"/>
        <v>-1.9936097282298275E-2</v>
      </c>
      <c r="O71" s="20">
        <f t="shared" si="13"/>
        <v>-2.7738574040219392E-2</v>
      </c>
      <c r="P71" s="20">
        <f t="shared" si="14"/>
        <v>2.6598079561043295E-3</v>
      </c>
      <c r="Q71" s="20">
        <f t="shared" si="15"/>
        <v>-1.2417540503973914E-2</v>
      </c>
    </row>
    <row r="72" spans="1:17" x14ac:dyDescent="0.2">
      <c r="A72" s="1">
        <v>44664</v>
      </c>
      <c r="B72">
        <v>117.28</v>
      </c>
      <c r="C72">
        <v>59.16</v>
      </c>
      <c r="D72">
        <v>22.17</v>
      </c>
      <c r="E72" s="2">
        <v>4446.59</v>
      </c>
      <c r="F72" s="3">
        <f t="shared" si="8"/>
        <v>-3.2263388068322407E-2</v>
      </c>
      <c r="G72" s="3">
        <f t="shared" si="9"/>
        <v>2.7118644067796183E-3</v>
      </c>
      <c r="H72" s="3">
        <f t="shared" si="10"/>
        <v>3.2603632976246022E-2</v>
      </c>
      <c r="I72" s="3">
        <f t="shared" si="11"/>
        <v>1.1174658040455254E-2</v>
      </c>
      <c r="J72" s="12">
        <v>0.21</v>
      </c>
      <c r="K72" s="12">
        <v>0.03</v>
      </c>
      <c r="L72" s="13">
        <v>-0.59</v>
      </c>
      <c r="M72" s="20">
        <v>8.9999999999999993E-3</v>
      </c>
      <c r="N72" s="20">
        <f t="shared" si="12"/>
        <v>-4.1263388068322408E-2</v>
      </c>
      <c r="O72" s="20">
        <f t="shared" si="13"/>
        <v>2.3603632976246021E-2</v>
      </c>
      <c r="P72" s="20">
        <f t="shared" si="14"/>
        <v>-6.2881355932203811E-3</v>
      </c>
      <c r="Q72" s="20">
        <f t="shared" si="15"/>
        <v>2.1746580404552549E-3</v>
      </c>
    </row>
    <row r="73" spans="1:17" x14ac:dyDescent="0.2">
      <c r="A73" s="1">
        <v>44665</v>
      </c>
      <c r="B73">
        <v>116.19</v>
      </c>
      <c r="C73">
        <v>59.42</v>
      </c>
      <c r="D73">
        <v>21.22</v>
      </c>
      <c r="E73" s="2">
        <v>4392.59</v>
      </c>
      <c r="F73" s="3">
        <f t="shared" si="8"/>
        <v>-9.2939972714870533E-3</v>
      </c>
      <c r="G73" s="3">
        <f t="shared" si="9"/>
        <v>4.3948613928330715E-3</v>
      </c>
      <c r="H73" s="3">
        <f t="shared" si="10"/>
        <v>-4.2850699142986115E-2</v>
      </c>
      <c r="I73" s="3">
        <f t="shared" si="11"/>
        <v>-1.2144137417661627E-2</v>
      </c>
      <c r="J73" s="13">
        <v>-0.12</v>
      </c>
      <c r="K73" s="12">
        <v>0.12</v>
      </c>
      <c r="L73" s="12">
        <v>0.43</v>
      </c>
      <c r="M73" s="20">
        <v>8.9999999999999993E-3</v>
      </c>
      <c r="N73" s="20">
        <f t="shared" si="12"/>
        <v>-1.8293997271487054E-2</v>
      </c>
      <c r="O73" s="20">
        <f t="shared" si="13"/>
        <v>-5.1850699142986116E-2</v>
      </c>
      <c r="P73" s="20">
        <f t="shared" si="14"/>
        <v>-4.6051386071669278E-3</v>
      </c>
      <c r="Q73" s="20">
        <f t="shared" si="15"/>
        <v>-2.1144137417661628E-2</v>
      </c>
    </row>
    <row r="74" spans="1:17" x14ac:dyDescent="0.2">
      <c r="A74" s="1">
        <v>44669</v>
      </c>
      <c r="B74">
        <v>118.35</v>
      </c>
      <c r="C74">
        <v>58.89</v>
      </c>
      <c r="D74">
        <v>21.75</v>
      </c>
      <c r="E74" s="2">
        <v>4391.6899999999996</v>
      </c>
      <c r="F74" s="3">
        <f t="shared" si="8"/>
        <v>1.8590240123934842E-2</v>
      </c>
      <c r="G74" s="3">
        <f t="shared" si="9"/>
        <v>-8.9195557051497953E-3</v>
      </c>
      <c r="H74" s="3">
        <f t="shared" si="10"/>
        <v>2.4976437323279921E-2</v>
      </c>
      <c r="I74" s="3">
        <f t="shared" si="11"/>
        <v>-2.0489050878880199E-4</v>
      </c>
      <c r="J74" s="11">
        <v>0</v>
      </c>
      <c r="K74" s="13">
        <v>-0.03</v>
      </c>
      <c r="L74" s="13">
        <v>-0.33</v>
      </c>
      <c r="M74" s="20">
        <v>8.9999999999999993E-3</v>
      </c>
      <c r="N74" s="20">
        <f t="shared" si="12"/>
        <v>9.5902401239348432E-3</v>
      </c>
      <c r="O74" s="20">
        <f t="shared" si="13"/>
        <v>1.597643732327992E-2</v>
      </c>
      <c r="P74" s="20">
        <f t="shared" si="14"/>
        <v>-1.7919555705149796E-2</v>
      </c>
      <c r="Q74" s="20">
        <f t="shared" si="15"/>
        <v>-9.2048905087888013E-3</v>
      </c>
    </row>
    <row r="75" spans="1:17" x14ac:dyDescent="0.2">
      <c r="A75" s="1">
        <v>44670</v>
      </c>
      <c r="B75">
        <v>120.8</v>
      </c>
      <c r="C75">
        <v>59.47</v>
      </c>
      <c r="D75">
        <v>22.16</v>
      </c>
      <c r="E75" s="2">
        <v>4462.21</v>
      </c>
      <c r="F75" s="3">
        <f t="shared" si="8"/>
        <v>2.0701309674693746E-2</v>
      </c>
      <c r="G75" s="3">
        <f t="shared" si="9"/>
        <v>9.8488707760231442E-3</v>
      </c>
      <c r="H75" s="3">
        <f t="shared" si="10"/>
        <v>1.8850574712643731E-2</v>
      </c>
      <c r="I75" s="3">
        <f t="shared" si="11"/>
        <v>1.6057599693967584E-2</v>
      </c>
      <c r="J75" s="14">
        <v>-0.3</v>
      </c>
      <c r="K75" s="12">
        <v>0.14000000000000001</v>
      </c>
      <c r="L75" s="13">
        <v>-0.06</v>
      </c>
      <c r="M75" s="20">
        <v>8.9999999999999993E-3</v>
      </c>
      <c r="N75" s="20">
        <f t="shared" si="12"/>
        <v>1.1701309674693747E-2</v>
      </c>
      <c r="O75" s="20">
        <f t="shared" si="13"/>
        <v>9.8505747126437313E-3</v>
      </c>
      <c r="P75" s="20">
        <f t="shared" si="14"/>
        <v>8.4887077602314488E-4</v>
      </c>
      <c r="Q75" s="20">
        <f t="shared" si="15"/>
        <v>7.0575996939675843E-3</v>
      </c>
    </row>
    <row r="76" spans="1:17" x14ac:dyDescent="0.2">
      <c r="A76" s="1">
        <v>44671</v>
      </c>
      <c r="B76">
        <v>121.22</v>
      </c>
      <c r="C76">
        <v>60.28</v>
      </c>
      <c r="D76">
        <v>21.45</v>
      </c>
      <c r="E76" s="2">
        <v>4459.45</v>
      </c>
      <c r="F76" s="3">
        <f t="shared" si="8"/>
        <v>3.476821192053059E-3</v>
      </c>
      <c r="G76" s="3">
        <f t="shared" si="9"/>
        <v>1.3620312762737452E-2</v>
      </c>
      <c r="H76" s="3">
        <f t="shared" si="10"/>
        <v>-3.2039711191335751E-2</v>
      </c>
      <c r="I76" s="3">
        <f t="shared" si="11"/>
        <v>-6.1852759058855789E-4</v>
      </c>
      <c r="J76" s="11">
        <v>0.3</v>
      </c>
      <c r="K76" s="13">
        <v>-0.22</v>
      </c>
      <c r="L76" s="12">
        <v>0.05</v>
      </c>
      <c r="M76" s="20">
        <v>8.9999999999999993E-3</v>
      </c>
      <c r="N76" s="20">
        <f t="shared" si="12"/>
        <v>-5.5231788079469404E-3</v>
      </c>
      <c r="O76" s="20">
        <f t="shared" si="13"/>
        <v>-4.1039711191335752E-2</v>
      </c>
      <c r="P76" s="20">
        <f t="shared" si="14"/>
        <v>4.6203127627374527E-3</v>
      </c>
      <c r="Q76" s="20">
        <f t="shared" si="15"/>
        <v>-9.6185275905885572E-3</v>
      </c>
    </row>
    <row r="77" spans="1:17" x14ac:dyDescent="0.2">
      <c r="A77" s="1">
        <v>44672</v>
      </c>
      <c r="B77">
        <v>120.28</v>
      </c>
      <c r="C77">
        <v>60.51</v>
      </c>
      <c r="D77">
        <v>20.149999999999999</v>
      </c>
      <c r="E77" s="2">
        <v>4393.66</v>
      </c>
      <c r="F77" s="3">
        <f t="shared" si="8"/>
        <v>-7.7544959577626749E-3</v>
      </c>
      <c r="G77" s="3">
        <f t="shared" si="9"/>
        <v>3.8155275381552833E-3</v>
      </c>
      <c r="H77" s="3">
        <f t="shared" si="10"/>
        <v>-6.0606060606060663E-2</v>
      </c>
      <c r="I77" s="3">
        <f t="shared" si="11"/>
        <v>-1.475294038502506E-2</v>
      </c>
      <c r="J77" s="12">
        <v>0.73</v>
      </c>
      <c r="K77" s="13">
        <v>-0.26</v>
      </c>
      <c r="L77" s="13">
        <v>-0.23</v>
      </c>
      <c r="M77" s="20">
        <v>1.2999999999999999E-2</v>
      </c>
      <c r="N77" s="20">
        <f t="shared" si="12"/>
        <v>-2.0754495957762673E-2</v>
      </c>
      <c r="O77" s="20">
        <f t="shared" si="13"/>
        <v>-7.3606060606060661E-2</v>
      </c>
      <c r="P77" s="20">
        <f t="shared" si="14"/>
        <v>-9.1844724618447161E-3</v>
      </c>
      <c r="Q77" s="20">
        <f t="shared" si="15"/>
        <v>-2.7752940385025057E-2</v>
      </c>
    </row>
    <row r="78" spans="1:17" x14ac:dyDescent="0.2">
      <c r="A78" s="1">
        <v>44673</v>
      </c>
      <c r="B78">
        <v>116.83</v>
      </c>
      <c r="C78">
        <v>59.63</v>
      </c>
      <c r="D78">
        <v>19.48</v>
      </c>
      <c r="E78" s="2">
        <v>4271.78</v>
      </c>
      <c r="F78" s="3">
        <f t="shared" si="8"/>
        <v>-2.8683072830063217E-2</v>
      </c>
      <c r="G78" s="3">
        <f t="shared" si="9"/>
        <v>-1.4543050735415508E-2</v>
      </c>
      <c r="H78" s="3">
        <f t="shared" si="10"/>
        <v>-3.3250620347394455E-2</v>
      </c>
      <c r="I78" s="3">
        <f t="shared" si="11"/>
        <v>-2.773997077607282E-2</v>
      </c>
      <c r="J78" s="14">
        <v>-0.1</v>
      </c>
      <c r="K78" s="13">
        <v>-0.03</v>
      </c>
      <c r="L78" s="13">
        <v>-0.05</v>
      </c>
      <c r="M78" s="20">
        <v>1.2999999999999999E-2</v>
      </c>
      <c r="N78" s="20">
        <f t="shared" si="12"/>
        <v>-4.1683072830063214E-2</v>
      </c>
      <c r="O78" s="20">
        <f t="shared" si="13"/>
        <v>-4.6250620347394453E-2</v>
      </c>
      <c r="P78" s="20">
        <f t="shared" si="14"/>
        <v>-2.7543050735415506E-2</v>
      </c>
      <c r="Q78" s="20">
        <f t="shared" si="15"/>
        <v>-4.0739970776072817E-2</v>
      </c>
    </row>
    <row r="79" spans="1:17" x14ac:dyDescent="0.2">
      <c r="A79" s="1">
        <v>44676</v>
      </c>
      <c r="B79">
        <v>116.79</v>
      </c>
      <c r="C79">
        <v>60.26</v>
      </c>
      <c r="D79">
        <v>19.87</v>
      </c>
      <c r="E79" s="2">
        <v>4296.12</v>
      </c>
      <c r="F79" s="3">
        <f t="shared" si="8"/>
        <v>-3.4237781391754929E-4</v>
      </c>
      <c r="G79" s="3">
        <f t="shared" si="9"/>
        <v>1.0565151769243553E-2</v>
      </c>
      <c r="H79" s="3">
        <f t="shared" si="10"/>
        <v>2.0020533880903413E-2</v>
      </c>
      <c r="I79" s="3">
        <f t="shared" si="11"/>
        <v>5.6978589721381478E-3</v>
      </c>
      <c r="J79" s="16">
        <v>-1.4</v>
      </c>
      <c r="K79" s="13">
        <v>-0.17</v>
      </c>
      <c r="L79" s="12">
        <v>0.01</v>
      </c>
      <c r="M79" s="20">
        <v>1.2999999999999999E-2</v>
      </c>
      <c r="N79" s="20">
        <f t="shared" si="12"/>
        <v>-1.3342377813917549E-2</v>
      </c>
      <c r="O79" s="20">
        <f t="shared" si="13"/>
        <v>7.0205338809034134E-3</v>
      </c>
      <c r="P79" s="20">
        <f t="shared" si="14"/>
        <v>-2.4348482307564468E-3</v>
      </c>
      <c r="Q79" s="20">
        <f t="shared" si="15"/>
        <v>-7.3021410278618516E-3</v>
      </c>
    </row>
    <row r="80" spans="1:17" x14ac:dyDescent="0.2">
      <c r="A80" s="1">
        <v>44677</v>
      </c>
      <c r="B80">
        <v>113.34</v>
      </c>
      <c r="C80">
        <v>59.45</v>
      </c>
      <c r="D80">
        <v>18.760000000000002</v>
      </c>
      <c r="E80" s="2">
        <v>4175.2</v>
      </c>
      <c r="F80" s="3">
        <f t="shared" si="8"/>
        <v>-2.9540200359619906E-2</v>
      </c>
      <c r="G80" s="3">
        <f t="shared" si="9"/>
        <v>-1.3441752406239571E-2</v>
      </c>
      <c r="H80" s="3">
        <f t="shared" si="10"/>
        <v>-5.5863110216406664E-2</v>
      </c>
      <c r="I80" s="3">
        <f t="shared" si="11"/>
        <v>-2.8146327383778869E-2</v>
      </c>
      <c r="J80" s="16">
        <v>-1.1000000000000001</v>
      </c>
      <c r="K80" s="12">
        <v>0.42</v>
      </c>
      <c r="L80" s="13">
        <v>-0.67</v>
      </c>
      <c r="M80" s="20">
        <v>1.2999999999999999E-2</v>
      </c>
      <c r="N80" s="20">
        <f t="shared" si="12"/>
        <v>-4.2540200359619904E-2</v>
      </c>
      <c r="O80" s="20">
        <f t="shared" si="13"/>
        <v>-6.8863110216406662E-2</v>
      </c>
      <c r="P80" s="20">
        <f t="shared" si="14"/>
        <v>-2.6441752406239569E-2</v>
      </c>
      <c r="Q80" s="20">
        <f t="shared" si="15"/>
        <v>-4.1146327383778866E-2</v>
      </c>
    </row>
    <row r="81" spans="1:17" x14ac:dyDescent="0.2">
      <c r="A81" s="1">
        <v>44678</v>
      </c>
      <c r="B81">
        <v>111.86</v>
      </c>
      <c r="C81">
        <v>59.92</v>
      </c>
      <c r="D81">
        <v>18.39</v>
      </c>
      <c r="E81" s="2">
        <v>4183.96</v>
      </c>
      <c r="F81" s="3">
        <f t="shared" si="8"/>
        <v>-1.3058055408505465E-2</v>
      </c>
      <c r="G81" s="3">
        <f t="shared" si="9"/>
        <v>7.9058031959629016E-3</v>
      </c>
      <c r="H81" s="3">
        <f t="shared" si="10"/>
        <v>-1.9722814498933983E-2</v>
      </c>
      <c r="I81" s="3">
        <f t="shared" si="11"/>
        <v>2.0981030848821192E-3</v>
      </c>
      <c r="J81" s="13">
        <v>-0.56000000000000005</v>
      </c>
      <c r="K81" s="13">
        <v>-0.74</v>
      </c>
      <c r="L81" s="13">
        <v>-0.22</v>
      </c>
      <c r="M81" s="20">
        <v>1.2999999999999999E-2</v>
      </c>
      <c r="N81" s="20">
        <f t="shared" si="12"/>
        <v>-2.6058055408505462E-2</v>
      </c>
      <c r="O81" s="20">
        <f t="shared" si="13"/>
        <v>-3.272281449893398E-2</v>
      </c>
      <c r="P81" s="20">
        <f t="shared" si="14"/>
        <v>-5.0941968040370978E-3</v>
      </c>
      <c r="Q81" s="20">
        <f t="shared" si="15"/>
        <v>-1.090189691511788E-2</v>
      </c>
    </row>
    <row r="82" spans="1:17" x14ac:dyDescent="0.2">
      <c r="A82" s="1">
        <v>44679</v>
      </c>
      <c r="B82">
        <v>113.63</v>
      </c>
      <c r="C82">
        <v>60.49</v>
      </c>
      <c r="D82">
        <v>19.75</v>
      </c>
      <c r="E82" s="2">
        <v>4287.5</v>
      </c>
      <c r="F82" s="3">
        <f t="shared" si="8"/>
        <v>1.5823350616842369E-2</v>
      </c>
      <c r="G82" s="3">
        <f t="shared" si="9"/>
        <v>9.5126835781040864E-3</v>
      </c>
      <c r="H82" s="3">
        <f t="shared" si="10"/>
        <v>7.3953235454051081E-2</v>
      </c>
      <c r="I82" s="3">
        <f t="shared" si="11"/>
        <v>2.474689050564538E-2</v>
      </c>
      <c r="J82" s="13">
        <v>-0.77</v>
      </c>
      <c r="K82" s="12">
        <v>0.36</v>
      </c>
      <c r="L82" s="12">
        <v>0.25</v>
      </c>
      <c r="M82" s="20">
        <v>1.2999999999999999E-2</v>
      </c>
      <c r="N82" s="20">
        <f t="shared" si="12"/>
        <v>2.8233506168423694E-3</v>
      </c>
      <c r="O82" s="20">
        <f t="shared" si="13"/>
        <v>6.0953235454051083E-2</v>
      </c>
      <c r="P82" s="20">
        <f t="shared" si="14"/>
        <v>-3.487316421895913E-3</v>
      </c>
      <c r="Q82" s="20">
        <f t="shared" si="15"/>
        <v>1.1746890505645381E-2</v>
      </c>
    </row>
    <row r="83" spans="1:17" x14ac:dyDescent="0.2">
      <c r="A83" s="1">
        <v>44680</v>
      </c>
      <c r="B83">
        <v>109.97</v>
      </c>
      <c r="C83">
        <v>59.05</v>
      </c>
      <c r="D83">
        <v>18.52</v>
      </c>
      <c r="E83" s="2">
        <v>4131.93</v>
      </c>
      <c r="F83" s="3">
        <f t="shared" si="8"/>
        <v>-3.2209803749009946E-2</v>
      </c>
      <c r="G83" s="3">
        <f t="shared" si="9"/>
        <v>-2.3805587700446385E-2</v>
      </c>
      <c r="H83" s="3">
        <f t="shared" si="10"/>
        <v>-6.2278481012658204E-2</v>
      </c>
      <c r="I83" s="3">
        <f t="shared" si="11"/>
        <v>-3.6284548104956182E-2</v>
      </c>
      <c r="J83" s="12">
        <v>0.59</v>
      </c>
      <c r="K83" s="13">
        <v>-0.32</v>
      </c>
      <c r="L83" s="12">
        <v>0.51</v>
      </c>
      <c r="M83" s="20">
        <v>1.2999999999999999E-2</v>
      </c>
      <c r="N83" s="20">
        <f t="shared" si="12"/>
        <v>-4.5209803749009944E-2</v>
      </c>
      <c r="O83" s="20">
        <f t="shared" si="13"/>
        <v>-7.5278481012658202E-2</v>
      </c>
      <c r="P83" s="20">
        <f t="shared" si="14"/>
        <v>-3.6805587700446382E-2</v>
      </c>
      <c r="Q83" s="20">
        <f t="shared" si="15"/>
        <v>-4.928454810495618E-2</v>
      </c>
    </row>
    <row r="84" spans="1:17" x14ac:dyDescent="0.2">
      <c r="A84" s="1">
        <v>44683</v>
      </c>
      <c r="B84">
        <v>110.97</v>
      </c>
      <c r="C84">
        <v>57.98</v>
      </c>
      <c r="D84">
        <v>19.5</v>
      </c>
      <c r="E84" s="2">
        <v>4155.38</v>
      </c>
      <c r="F84" s="3">
        <f t="shared" si="8"/>
        <v>9.0933891061197869E-3</v>
      </c>
      <c r="G84" s="3">
        <f t="shared" si="9"/>
        <v>-1.8120237087214219E-2</v>
      </c>
      <c r="H84" s="3">
        <f t="shared" si="10"/>
        <v>5.291576673866083E-2</v>
      </c>
      <c r="I84" s="3">
        <f t="shared" si="11"/>
        <v>5.6753139573999523E-3</v>
      </c>
      <c r="J84" s="13">
        <v>-0.96</v>
      </c>
      <c r="K84" s="12">
        <v>0.45</v>
      </c>
      <c r="L84" s="13">
        <v>-7.0000000000000007E-2</v>
      </c>
      <c r="M84" s="20">
        <v>1.2999999999999999E-2</v>
      </c>
      <c r="N84" s="20">
        <f t="shared" si="12"/>
        <v>-3.9066108938802125E-3</v>
      </c>
      <c r="O84" s="20">
        <f t="shared" si="13"/>
        <v>3.9915766738660832E-2</v>
      </c>
      <c r="P84" s="20">
        <f t="shared" si="14"/>
        <v>-3.1120237087214217E-2</v>
      </c>
      <c r="Q84" s="20">
        <f t="shared" si="15"/>
        <v>-7.3246860426000471E-3</v>
      </c>
    </row>
    <row r="85" spans="1:17" x14ac:dyDescent="0.2">
      <c r="A85" s="1">
        <v>44684</v>
      </c>
      <c r="B85">
        <v>113.35</v>
      </c>
      <c r="C85">
        <v>57.65</v>
      </c>
      <c r="D85">
        <v>19.57</v>
      </c>
      <c r="E85" s="2">
        <v>4175.4799999999996</v>
      </c>
      <c r="F85" s="3">
        <f t="shared" si="8"/>
        <v>2.1447237992250123E-2</v>
      </c>
      <c r="G85" s="3">
        <f t="shared" si="9"/>
        <v>-5.6916177992410999E-3</v>
      </c>
      <c r="H85" s="3">
        <f t="shared" si="10"/>
        <v>3.5897435897436214E-3</v>
      </c>
      <c r="I85" s="3">
        <f t="shared" si="11"/>
        <v>4.8371027439124692E-3</v>
      </c>
      <c r="J85" s="13">
        <v>-0.69</v>
      </c>
      <c r="K85" s="13">
        <v>-0.13</v>
      </c>
      <c r="L85" s="13">
        <v>-7.0000000000000007E-2</v>
      </c>
      <c r="M85" s="20">
        <v>1.2999999999999999E-2</v>
      </c>
      <c r="N85" s="20">
        <f t="shared" si="12"/>
        <v>8.4472379922501239E-3</v>
      </c>
      <c r="O85" s="20">
        <f t="shared" si="13"/>
        <v>-9.410256410256378E-3</v>
      </c>
      <c r="P85" s="20">
        <f t="shared" si="14"/>
        <v>-1.8691617799241098E-2</v>
      </c>
      <c r="Q85" s="20">
        <f t="shared" si="15"/>
        <v>-8.1628972560875302E-3</v>
      </c>
    </row>
    <row r="86" spans="1:17" x14ac:dyDescent="0.2">
      <c r="A86" s="1">
        <v>44685</v>
      </c>
      <c r="B86">
        <v>117.1</v>
      </c>
      <c r="C86">
        <v>59.43</v>
      </c>
      <c r="D86">
        <v>20.3</v>
      </c>
      <c r="E86" s="2">
        <v>4300.17</v>
      </c>
      <c r="F86" s="3">
        <f t="shared" si="8"/>
        <v>3.3083370092633402E-2</v>
      </c>
      <c r="G86" s="3">
        <f t="shared" si="9"/>
        <v>3.0875975715524806E-2</v>
      </c>
      <c r="H86" s="3">
        <f t="shared" si="10"/>
        <v>3.7301992846193066E-2</v>
      </c>
      <c r="I86" s="3">
        <f t="shared" si="11"/>
        <v>2.9862434977535601E-2</v>
      </c>
      <c r="J86" s="12">
        <v>0.69</v>
      </c>
      <c r="K86" s="13">
        <v>-0.35</v>
      </c>
      <c r="L86" s="12">
        <v>0.02</v>
      </c>
      <c r="M86" s="20">
        <v>1.2999999999999999E-2</v>
      </c>
      <c r="N86" s="20">
        <f t="shared" si="12"/>
        <v>2.0083370092633404E-2</v>
      </c>
      <c r="O86" s="20">
        <f t="shared" si="13"/>
        <v>2.4301992846193068E-2</v>
      </c>
      <c r="P86" s="20">
        <f t="shared" si="14"/>
        <v>1.7875975715524808E-2</v>
      </c>
      <c r="Q86" s="20">
        <f t="shared" si="15"/>
        <v>1.6862434977535604E-2</v>
      </c>
    </row>
    <row r="87" spans="1:17" x14ac:dyDescent="0.2">
      <c r="A87" s="1">
        <v>44686</v>
      </c>
      <c r="B87">
        <v>114.17</v>
      </c>
      <c r="C87">
        <v>58.96</v>
      </c>
      <c r="D87">
        <v>18.809999999999999</v>
      </c>
      <c r="E87" s="2">
        <v>4146.87</v>
      </c>
      <c r="F87" s="3">
        <f t="shared" si="8"/>
        <v>-2.5021349274124582E-2</v>
      </c>
      <c r="G87" s="3">
        <f t="shared" si="9"/>
        <v>-7.9084637388524559E-3</v>
      </c>
      <c r="H87" s="3">
        <f t="shared" si="10"/>
        <v>-7.3399014778325222E-2</v>
      </c>
      <c r="I87" s="3">
        <f t="shared" si="11"/>
        <v>-3.5649753381843063E-2</v>
      </c>
      <c r="J87" s="12">
        <v>0.97</v>
      </c>
      <c r="K87" s="13">
        <v>-0.47</v>
      </c>
      <c r="L87" s="15">
        <v>1.08</v>
      </c>
      <c r="M87" s="20">
        <v>1.2999999999999999E-2</v>
      </c>
      <c r="N87" s="20">
        <f t="shared" si="12"/>
        <v>-3.802134927412458E-2</v>
      </c>
      <c r="O87" s="20">
        <f t="shared" si="13"/>
        <v>-8.639901477832522E-2</v>
      </c>
      <c r="P87" s="20">
        <f t="shared" si="14"/>
        <v>-2.0908463738852454E-2</v>
      </c>
      <c r="Q87" s="20">
        <f t="shared" si="15"/>
        <v>-4.8649753381843061E-2</v>
      </c>
    </row>
    <row r="88" spans="1:17" x14ac:dyDescent="0.2">
      <c r="A88" s="1">
        <v>44687</v>
      </c>
      <c r="B88">
        <v>113.98</v>
      </c>
      <c r="C88">
        <v>59.17</v>
      </c>
      <c r="D88">
        <v>18.649999999999999</v>
      </c>
      <c r="E88" s="2">
        <v>4123.34</v>
      </c>
      <c r="F88" s="3">
        <f t="shared" si="8"/>
        <v>-1.6641849872995884E-3</v>
      </c>
      <c r="G88" s="3">
        <f t="shared" si="9"/>
        <v>3.5617367706919367E-3</v>
      </c>
      <c r="H88" s="3">
        <f t="shared" si="10"/>
        <v>-8.5061137692716837E-3</v>
      </c>
      <c r="I88" s="3">
        <f t="shared" si="11"/>
        <v>-5.6741590645473794E-3</v>
      </c>
      <c r="J88" s="17">
        <v>-1.83</v>
      </c>
      <c r="K88" s="12">
        <v>7.0000000000000007E-2</v>
      </c>
      <c r="L88" s="13">
        <v>-0.18</v>
      </c>
      <c r="M88" s="20">
        <v>1.2999999999999999E-2</v>
      </c>
      <c r="N88" s="20">
        <f t="shared" si="12"/>
        <v>-1.4664184987299588E-2</v>
      </c>
      <c r="O88" s="20">
        <f t="shared" si="13"/>
        <v>-2.1506113769271681E-2</v>
      </c>
      <c r="P88" s="20">
        <f t="shared" si="14"/>
        <v>-9.4382632293080627E-3</v>
      </c>
      <c r="Q88" s="20">
        <f t="shared" si="15"/>
        <v>-1.8674159064547377E-2</v>
      </c>
    </row>
    <row r="89" spans="1:17" x14ac:dyDescent="0.2">
      <c r="A89" s="1">
        <v>44690</v>
      </c>
      <c r="B89">
        <v>112.27</v>
      </c>
      <c r="C89">
        <v>59.05</v>
      </c>
      <c r="D89">
        <v>16.920000000000002</v>
      </c>
      <c r="E89" s="2">
        <v>3991.24</v>
      </c>
      <c r="F89" s="3">
        <f t="shared" si="8"/>
        <v>-1.5002632040708952E-2</v>
      </c>
      <c r="G89" s="3">
        <f t="shared" si="9"/>
        <v>-2.0280547574785812E-3</v>
      </c>
      <c r="H89" s="3">
        <f t="shared" si="10"/>
        <v>-9.276139410187656E-2</v>
      </c>
      <c r="I89" s="3">
        <f t="shared" si="11"/>
        <v>-3.2037134944001844E-2</v>
      </c>
      <c r="J89" s="13">
        <v>-0.73</v>
      </c>
      <c r="K89" s="13">
        <v>-0.31</v>
      </c>
      <c r="L89" s="12">
        <v>0.37</v>
      </c>
      <c r="M89" s="20">
        <v>1.2999999999999999E-2</v>
      </c>
      <c r="N89" s="20">
        <f t="shared" si="12"/>
        <v>-2.800263204070895E-2</v>
      </c>
      <c r="O89" s="20">
        <f t="shared" si="13"/>
        <v>-0.10576139410187656</v>
      </c>
      <c r="P89" s="20">
        <f t="shared" si="14"/>
        <v>-1.5028054757478581E-2</v>
      </c>
      <c r="Q89" s="20">
        <f t="shared" si="15"/>
        <v>-4.5037134944001841E-2</v>
      </c>
    </row>
    <row r="90" spans="1:17" x14ac:dyDescent="0.2">
      <c r="A90" s="1">
        <v>44691</v>
      </c>
      <c r="B90">
        <v>109.53</v>
      </c>
      <c r="C90">
        <v>58.5</v>
      </c>
      <c r="D90">
        <v>17.57</v>
      </c>
      <c r="E90" s="2">
        <v>4001.05</v>
      </c>
      <c r="F90" s="3">
        <f t="shared" si="8"/>
        <v>-2.4405451144562162E-2</v>
      </c>
      <c r="G90" s="3">
        <f t="shared" si="9"/>
        <v>-9.3141405588483828E-3</v>
      </c>
      <c r="H90" s="3">
        <f t="shared" si="10"/>
        <v>3.8416075650118175E-2</v>
      </c>
      <c r="I90" s="3">
        <f t="shared" si="11"/>
        <v>2.4578827632515399E-3</v>
      </c>
      <c r="J90" s="11">
        <v>0.7</v>
      </c>
      <c r="K90" s="13">
        <v>-0.11</v>
      </c>
      <c r="L90" s="12">
        <v>0.39</v>
      </c>
      <c r="M90" s="20">
        <v>1.2999999999999999E-2</v>
      </c>
      <c r="N90" s="20">
        <f t="shared" si="12"/>
        <v>-3.740545114456216E-2</v>
      </c>
      <c r="O90" s="20">
        <f t="shared" si="13"/>
        <v>2.5416075650118178E-2</v>
      </c>
      <c r="P90" s="20">
        <f t="shared" si="14"/>
        <v>-2.231414055884838E-2</v>
      </c>
      <c r="Q90" s="20">
        <f t="shared" si="15"/>
        <v>-1.054211723674846E-2</v>
      </c>
    </row>
    <row r="91" spans="1:17" x14ac:dyDescent="0.2">
      <c r="A91" s="1">
        <v>44692</v>
      </c>
      <c r="B91">
        <v>108.84</v>
      </c>
      <c r="C91">
        <v>58.77</v>
      </c>
      <c r="D91">
        <v>16.600000000000001</v>
      </c>
      <c r="E91" s="2">
        <v>3935.18</v>
      </c>
      <c r="F91" s="3">
        <f t="shared" si="8"/>
        <v>-6.2996439331689524E-3</v>
      </c>
      <c r="G91" s="3">
        <f t="shared" si="9"/>
        <v>4.6153846153846878E-3</v>
      </c>
      <c r="H91" s="3">
        <f t="shared" si="10"/>
        <v>-5.5207740466704514E-2</v>
      </c>
      <c r="I91" s="3">
        <f t="shared" si="11"/>
        <v>-1.6463178415666024E-2</v>
      </c>
      <c r="J91" s="17">
        <v>-1.06</v>
      </c>
      <c r="K91" s="12">
        <v>0.37</v>
      </c>
      <c r="L91" s="14">
        <v>-0.5</v>
      </c>
      <c r="M91" s="20">
        <v>1.2999999999999999E-2</v>
      </c>
      <c r="N91" s="20">
        <f t="shared" si="12"/>
        <v>-1.929964393316895E-2</v>
      </c>
      <c r="O91" s="20">
        <f t="shared" si="13"/>
        <v>-6.8207740466704511E-2</v>
      </c>
      <c r="P91" s="20">
        <f t="shared" si="14"/>
        <v>-8.3846153846153116E-3</v>
      </c>
      <c r="Q91" s="20">
        <f t="shared" si="15"/>
        <v>-2.9463178415666022E-2</v>
      </c>
    </row>
    <row r="92" spans="1:17" x14ac:dyDescent="0.2">
      <c r="A92" s="1">
        <v>44693</v>
      </c>
      <c r="B92">
        <v>108.75</v>
      </c>
      <c r="C92">
        <v>58.96</v>
      </c>
      <c r="D92">
        <v>16.149999999999999</v>
      </c>
      <c r="E92" s="2">
        <v>3930.08</v>
      </c>
      <c r="F92" s="3">
        <f t="shared" si="8"/>
        <v>-8.2690187431089246E-4</v>
      </c>
      <c r="G92" s="3">
        <f t="shared" si="9"/>
        <v>3.2329419771992551E-3</v>
      </c>
      <c r="H92" s="3">
        <f t="shared" si="10"/>
        <v>-2.7108433734939874E-2</v>
      </c>
      <c r="I92" s="3">
        <f t="shared" si="11"/>
        <v>-1.2960017076728558E-3</v>
      </c>
      <c r="J92" s="13">
        <v>-0.25</v>
      </c>
      <c r="K92" s="13">
        <v>-0.56999999999999995</v>
      </c>
      <c r="L92" s="16">
        <v>-1.2</v>
      </c>
      <c r="M92" s="20">
        <v>1.2999999999999999E-2</v>
      </c>
      <c r="N92" s="20">
        <f t="shared" si="12"/>
        <v>-1.3826901874310892E-2</v>
      </c>
      <c r="O92" s="20">
        <f t="shared" si="13"/>
        <v>-4.0108433734939872E-2</v>
      </c>
      <c r="P92" s="20">
        <f t="shared" si="14"/>
        <v>-9.7670580228007443E-3</v>
      </c>
      <c r="Q92" s="20">
        <f t="shared" si="15"/>
        <v>-1.4296001707672855E-2</v>
      </c>
    </row>
    <row r="93" spans="1:17" x14ac:dyDescent="0.2">
      <c r="A93" s="1">
        <v>44694</v>
      </c>
      <c r="B93">
        <v>109.72</v>
      </c>
      <c r="C93">
        <v>60.06</v>
      </c>
      <c r="D93">
        <v>17.68</v>
      </c>
      <c r="E93" s="2">
        <v>4023.89</v>
      </c>
      <c r="F93" s="3">
        <f t="shared" si="8"/>
        <v>8.919540229884948E-3</v>
      </c>
      <c r="G93" s="3">
        <f t="shared" si="9"/>
        <v>1.8656716417910557E-2</v>
      </c>
      <c r="H93" s="3">
        <f t="shared" si="10"/>
        <v>9.473684210526323E-2</v>
      </c>
      <c r="I93" s="3">
        <f t="shared" si="11"/>
        <v>2.386974310955492E-2</v>
      </c>
      <c r="J93" s="15">
        <v>1.53</v>
      </c>
      <c r="K93" s="13">
        <v>-0.11</v>
      </c>
      <c r="L93" s="12">
        <v>0.55000000000000004</v>
      </c>
      <c r="M93" s="20">
        <v>1.2999999999999999E-2</v>
      </c>
      <c r="N93" s="20">
        <f t="shared" si="12"/>
        <v>-4.0804597701150514E-3</v>
      </c>
      <c r="O93" s="20">
        <f t="shared" si="13"/>
        <v>8.1736842105263233E-2</v>
      </c>
      <c r="P93" s="20">
        <f t="shared" si="14"/>
        <v>5.6567164179105577E-3</v>
      </c>
      <c r="Q93" s="20">
        <f t="shared" si="15"/>
        <v>1.086974310955492E-2</v>
      </c>
    </row>
    <row r="94" spans="1:17" x14ac:dyDescent="0.2">
      <c r="A94" s="1">
        <v>44697</v>
      </c>
      <c r="B94">
        <v>108.95</v>
      </c>
      <c r="C94">
        <v>60.28</v>
      </c>
      <c r="D94">
        <v>17.239999999999998</v>
      </c>
      <c r="E94" s="2">
        <v>4008.01</v>
      </c>
      <c r="F94" s="3">
        <f t="shared" si="8"/>
        <v>-7.0178636529346639E-3</v>
      </c>
      <c r="G94" s="3">
        <f t="shared" si="9"/>
        <v>3.66300366300365E-3</v>
      </c>
      <c r="H94" s="3">
        <f t="shared" si="10"/>
        <v>-2.4886877828054321E-2</v>
      </c>
      <c r="I94" s="3">
        <f t="shared" si="11"/>
        <v>-3.9464299471405617E-3</v>
      </c>
      <c r="J94" s="14">
        <v>-0.4</v>
      </c>
      <c r="K94" s="11">
        <v>0.4</v>
      </c>
      <c r="L94" s="12">
        <v>0.27</v>
      </c>
      <c r="M94" s="20">
        <v>1.2999999999999999E-2</v>
      </c>
      <c r="N94" s="20">
        <f t="shared" si="12"/>
        <v>-2.0017863652934662E-2</v>
      </c>
      <c r="O94" s="20">
        <f t="shared" si="13"/>
        <v>-3.7886877828054319E-2</v>
      </c>
      <c r="P94" s="20">
        <f t="shared" si="14"/>
        <v>-9.3369963369963494E-3</v>
      </c>
      <c r="Q94" s="20">
        <f t="shared" si="15"/>
        <v>-1.6946429947140559E-2</v>
      </c>
    </row>
    <row r="95" spans="1:17" x14ac:dyDescent="0.2">
      <c r="A95" s="1">
        <v>44698</v>
      </c>
      <c r="B95">
        <v>112.56</v>
      </c>
      <c r="C95">
        <v>60.12</v>
      </c>
      <c r="D95">
        <v>18.149999999999999</v>
      </c>
      <c r="E95" s="2">
        <v>4088.85</v>
      </c>
      <c r="F95" s="3">
        <f t="shared" si="8"/>
        <v>3.3134465351078557E-2</v>
      </c>
      <c r="G95" s="3">
        <f t="shared" si="9"/>
        <v>-2.6542800265428879E-3</v>
      </c>
      <c r="H95" s="3">
        <f t="shared" si="10"/>
        <v>5.278422273781902E-2</v>
      </c>
      <c r="I95" s="3">
        <f t="shared" si="11"/>
        <v>2.0169610355263545E-2</v>
      </c>
      <c r="J95" s="12">
        <v>0.54</v>
      </c>
      <c r="K95" s="12">
        <v>0.51</v>
      </c>
      <c r="L95" s="12">
        <v>0.19</v>
      </c>
      <c r="M95" s="20">
        <v>1.2999999999999999E-2</v>
      </c>
      <c r="N95" s="20">
        <f t="shared" si="12"/>
        <v>2.0134465351078559E-2</v>
      </c>
      <c r="O95" s="20">
        <f t="shared" si="13"/>
        <v>3.9784222737819022E-2</v>
      </c>
      <c r="P95" s="20">
        <f t="shared" si="14"/>
        <v>-1.5654280026542886E-2</v>
      </c>
      <c r="Q95" s="20">
        <f t="shared" si="15"/>
        <v>7.1696103552635459E-3</v>
      </c>
    </row>
    <row r="96" spans="1:17" x14ac:dyDescent="0.2">
      <c r="A96" s="1">
        <v>44699</v>
      </c>
      <c r="B96">
        <v>110.64</v>
      </c>
      <c r="C96">
        <v>55.93</v>
      </c>
      <c r="D96">
        <v>16.91</v>
      </c>
      <c r="E96" s="2">
        <v>3923.68</v>
      </c>
      <c r="F96" s="3">
        <f t="shared" si="8"/>
        <v>-1.7057569296375252E-2</v>
      </c>
      <c r="G96" s="3">
        <f t="shared" si="9"/>
        <v>-6.9693945442448446E-2</v>
      </c>
      <c r="H96" s="3">
        <f t="shared" si="10"/>
        <v>-6.8319559228650073E-2</v>
      </c>
      <c r="I96" s="3">
        <f t="shared" si="11"/>
        <v>-4.0395221150201222E-2</v>
      </c>
      <c r="J96" s="14">
        <v>-0.1</v>
      </c>
      <c r="K96" s="12">
        <v>0.36</v>
      </c>
      <c r="L96" s="13">
        <v>-0.05</v>
      </c>
      <c r="M96" s="20">
        <v>1.2999999999999999E-2</v>
      </c>
      <c r="N96" s="20">
        <f t="shared" si="12"/>
        <v>-3.005756929637525E-2</v>
      </c>
      <c r="O96" s="20">
        <f t="shared" si="13"/>
        <v>-8.1319559228650071E-2</v>
      </c>
      <c r="P96" s="20">
        <f t="shared" si="14"/>
        <v>-8.2693945442448444E-2</v>
      </c>
      <c r="Q96" s="20">
        <f t="shared" si="15"/>
        <v>-5.3395221150201219E-2</v>
      </c>
    </row>
    <row r="97" spans="1:17" x14ac:dyDescent="0.2">
      <c r="A97" s="1">
        <v>44700</v>
      </c>
      <c r="B97">
        <v>109</v>
      </c>
      <c r="C97">
        <v>54.83</v>
      </c>
      <c r="D97">
        <v>17.100000000000001</v>
      </c>
      <c r="E97" s="2">
        <v>3900.79</v>
      </c>
      <c r="F97" s="3">
        <f t="shared" si="8"/>
        <v>-1.4822848879248007E-2</v>
      </c>
      <c r="G97" s="3">
        <f t="shared" si="9"/>
        <v>-1.9667441444663036E-2</v>
      </c>
      <c r="H97" s="3">
        <f t="shared" si="10"/>
        <v>1.1235955056179803E-2</v>
      </c>
      <c r="I97" s="3">
        <f t="shared" si="11"/>
        <v>-5.8338090771927753E-3</v>
      </c>
      <c r="J97" s="12">
        <v>0.32</v>
      </c>
      <c r="K97" s="12">
        <v>0.06</v>
      </c>
      <c r="L97" s="12">
        <v>0.23</v>
      </c>
      <c r="M97" s="20">
        <v>1.2999999999999999E-2</v>
      </c>
      <c r="N97" s="20">
        <f t="shared" si="12"/>
        <v>-2.7822848879248005E-2</v>
      </c>
      <c r="O97" s="20">
        <f t="shared" si="13"/>
        <v>-1.7640449438201967E-3</v>
      </c>
      <c r="P97" s="20">
        <f t="shared" si="14"/>
        <v>-3.2667441444663034E-2</v>
      </c>
      <c r="Q97" s="20">
        <f t="shared" si="15"/>
        <v>-1.8833809077192773E-2</v>
      </c>
    </row>
    <row r="98" spans="1:17" x14ac:dyDescent="0.2">
      <c r="A98" s="1">
        <v>44701</v>
      </c>
      <c r="B98">
        <v>108.1</v>
      </c>
      <c r="C98">
        <v>55.73</v>
      </c>
      <c r="D98">
        <v>16.670000000000002</v>
      </c>
      <c r="E98" s="2">
        <v>3901.36</v>
      </c>
      <c r="F98" s="3">
        <f t="shared" si="8"/>
        <v>-8.2568807339450379E-3</v>
      </c>
      <c r="G98" s="3">
        <f t="shared" si="9"/>
        <v>1.6414371694327912E-2</v>
      </c>
      <c r="H98" s="3">
        <f t="shared" si="10"/>
        <v>-2.5146198830409361E-2</v>
      </c>
      <c r="I98" s="3">
        <f t="shared" si="11"/>
        <v>1.4612424662696633E-4</v>
      </c>
      <c r="J98" s="18">
        <v>1</v>
      </c>
      <c r="K98" s="13">
        <v>-0.41</v>
      </c>
      <c r="L98" s="11">
        <v>0.1</v>
      </c>
      <c r="M98" s="20">
        <v>1.2999999999999999E-2</v>
      </c>
      <c r="N98" s="20">
        <f t="shared" si="12"/>
        <v>-2.1256880733945036E-2</v>
      </c>
      <c r="O98" s="20">
        <f t="shared" si="13"/>
        <v>-3.8146198830409359E-2</v>
      </c>
      <c r="P98" s="20">
        <f t="shared" si="14"/>
        <v>3.4143716943279123E-3</v>
      </c>
      <c r="Q98" s="20">
        <f t="shared" si="15"/>
        <v>-1.2853875753373033E-2</v>
      </c>
    </row>
    <row r="99" spans="1:17" x14ac:dyDescent="0.2">
      <c r="A99" s="1">
        <v>44704</v>
      </c>
      <c r="B99">
        <v>114.79</v>
      </c>
      <c r="C99">
        <v>57.45</v>
      </c>
      <c r="D99">
        <v>16.87</v>
      </c>
      <c r="E99" s="2">
        <v>3973.75</v>
      </c>
      <c r="F99" s="3">
        <f t="shared" si="8"/>
        <v>6.1887141535615253E-2</v>
      </c>
      <c r="G99" s="3">
        <f t="shared" si="9"/>
        <v>3.0863089897721352E-2</v>
      </c>
      <c r="H99" s="3">
        <f t="shared" si="10"/>
        <v>1.1997600479904058E-2</v>
      </c>
      <c r="I99" s="3">
        <f t="shared" si="11"/>
        <v>1.8555067976295359E-2</v>
      </c>
      <c r="J99" s="13">
        <v>-0.08</v>
      </c>
      <c r="K99" s="12">
        <v>0.66</v>
      </c>
      <c r="L99" s="12">
        <v>0.25</v>
      </c>
      <c r="M99" s="20">
        <v>1.2999999999999999E-2</v>
      </c>
      <c r="N99" s="20">
        <f t="shared" si="12"/>
        <v>4.8887141535615256E-2</v>
      </c>
      <c r="O99" s="20">
        <f t="shared" si="13"/>
        <v>-1.0023995200959413E-3</v>
      </c>
      <c r="P99" s="20">
        <f t="shared" si="14"/>
        <v>1.7863089897721354E-2</v>
      </c>
      <c r="Q99" s="20">
        <f t="shared" si="15"/>
        <v>5.5550679762953591E-3</v>
      </c>
    </row>
    <row r="100" spans="1:17" x14ac:dyDescent="0.2">
      <c r="A100" s="1">
        <v>44705</v>
      </c>
      <c r="B100">
        <v>116.41</v>
      </c>
      <c r="C100">
        <v>58.51</v>
      </c>
      <c r="D100">
        <v>16.13</v>
      </c>
      <c r="E100" s="2">
        <v>3941.48</v>
      </c>
      <c r="F100" s="3">
        <f t="shared" si="8"/>
        <v>1.4112727589511209E-2</v>
      </c>
      <c r="G100" s="3">
        <f t="shared" si="9"/>
        <v>1.845082680591803E-2</v>
      </c>
      <c r="H100" s="3">
        <f t="shared" si="10"/>
        <v>-4.3864848844102022E-2</v>
      </c>
      <c r="I100" s="3">
        <f t="shared" si="11"/>
        <v>-8.1207927021075266E-3</v>
      </c>
      <c r="J100" s="13">
        <v>-0.06</v>
      </c>
      <c r="K100" s="13">
        <v>-0.02</v>
      </c>
      <c r="L100" s="13">
        <v>-0.28000000000000003</v>
      </c>
      <c r="M100" s="20">
        <v>1.2999999999999999E-2</v>
      </c>
      <c r="N100" s="20">
        <f t="shared" si="12"/>
        <v>1.1127275895112098E-3</v>
      </c>
      <c r="O100" s="20">
        <f t="shared" si="13"/>
        <v>-5.686484884410202E-2</v>
      </c>
      <c r="P100" s="20">
        <f t="shared" si="14"/>
        <v>5.4508268059180309E-3</v>
      </c>
      <c r="Q100" s="20">
        <f t="shared" si="15"/>
        <v>-2.1120792702107524E-2</v>
      </c>
    </row>
    <row r="101" spans="1:17" x14ac:dyDescent="0.2">
      <c r="A101" s="1">
        <v>44706</v>
      </c>
      <c r="B101">
        <v>117.23</v>
      </c>
      <c r="C101">
        <v>58.55</v>
      </c>
      <c r="D101">
        <v>16.95</v>
      </c>
      <c r="E101" s="2">
        <v>3978.73</v>
      </c>
      <c r="F101" s="3">
        <f t="shared" si="8"/>
        <v>7.0440683790053971E-3</v>
      </c>
      <c r="G101" s="3">
        <f t="shared" si="9"/>
        <v>6.8364382156893555E-4</v>
      </c>
      <c r="H101" s="3">
        <f t="shared" si="10"/>
        <v>5.0836949783013008E-2</v>
      </c>
      <c r="I101" s="3">
        <f t="shared" si="11"/>
        <v>9.4507646873762674E-3</v>
      </c>
      <c r="J101" s="13">
        <v>-0.25</v>
      </c>
      <c r="K101" s="12">
        <v>0.21</v>
      </c>
      <c r="L101" s="12">
        <v>0.22</v>
      </c>
      <c r="M101" s="20">
        <v>1.2999999999999999E-2</v>
      </c>
      <c r="N101" s="20">
        <f t="shared" si="12"/>
        <v>-5.9559316209946023E-3</v>
      </c>
      <c r="O101" s="20">
        <f t="shared" si="13"/>
        <v>3.783694978301301E-2</v>
      </c>
      <c r="P101" s="20">
        <f t="shared" si="14"/>
        <v>-1.2316356178431064E-2</v>
      </c>
      <c r="Q101" s="20">
        <f t="shared" si="15"/>
        <v>-3.549235312623732E-3</v>
      </c>
    </row>
    <row r="102" spans="1:17" x14ac:dyDescent="0.2">
      <c r="A102" s="1">
        <v>44707</v>
      </c>
      <c r="B102">
        <v>119.25</v>
      </c>
      <c r="C102">
        <v>58.76</v>
      </c>
      <c r="D102">
        <v>17.82</v>
      </c>
      <c r="E102" s="2">
        <v>4057.84</v>
      </c>
      <c r="F102" s="3">
        <f t="shared" si="8"/>
        <v>1.7231084193465751E-2</v>
      </c>
      <c r="G102" s="3">
        <f t="shared" si="9"/>
        <v>3.5866780529463238E-3</v>
      </c>
      <c r="H102" s="3">
        <f t="shared" si="10"/>
        <v>5.1327433628318708E-2</v>
      </c>
      <c r="I102" s="3">
        <f t="shared" si="11"/>
        <v>1.988322907058282E-2</v>
      </c>
      <c r="J102" s="12">
        <v>0.46</v>
      </c>
      <c r="K102" s="13">
        <v>-0.13</v>
      </c>
      <c r="L102" s="14">
        <v>-0.4</v>
      </c>
      <c r="M102" s="20">
        <v>1.2999999999999999E-2</v>
      </c>
      <c r="N102" s="20">
        <f t="shared" si="12"/>
        <v>4.2310841934657516E-3</v>
      </c>
      <c r="O102" s="20">
        <f t="shared" si="13"/>
        <v>3.8327433628318711E-2</v>
      </c>
      <c r="P102" s="20">
        <f t="shared" si="14"/>
        <v>-9.4133219470536756E-3</v>
      </c>
      <c r="Q102" s="20">
        <f t="shared" si="15"/>
        <v>6.8832290705828202E-3</v>
      </c>
    </row>
    <row r="103" spans="1:17" x14ac:dyDescent="0.2">
      <c r="A103" s="1">
        <v>44708</v>
      </c>
      <c r="B103">
        <v>120.94</v>
      </c>
      <c r="C103">
        <v>59.11</v>
      </c>
      <c r="D103">
        <v>18.78</v>
      </c>
      <c r="E103" s="2">
        <v>4158.24</v>
      </c>
      <c r="F103" s="3">
        <f t="shared" si="8"/>
        <v>1.4171907756813429E-2</v>
      </c>
      <c r="G103" s="3">
        <f t="shared" si="9"/>
        <v>5.9564329475834121E-3</v>
      </c>
      <c r="H103" s="3">
        <f t="shared" si="10"/>
        <v>5.3872053872053849E-2</v>
      </c>
      <c r="I103" s="3">
        <f t="shared" si="11"/>
        <v>2.4742227391912897E-2</v>
      </c>
      <c r="J103" s="11">
        <v>0.2</v>
      </c>
      <c r="K103" s="14">
        <v>-0.2</v>
      </c>
      <c r="L103" s="13">
        <v>-0.33</v>
      </c>
      <c r="M103" s="20">
        <v>1.2999999999999999E-2</v>
      </c>
      <c r="N103" s="20">
        <f t="shared" si="12"/>
        <v>1.1719077568134294E-3</v>
      </c>
      <c r="O103" s="20">
        <f t="shared" si="13"/>
        <v>4.0872053872053851E-2</v>
      </c>
      <c r="P103" s="20">
        <f t="shared" si="14"/>
        <v>-7.0435670524165873E-3</v>
      </c>
      <c r="Q103" s="20">
        <f t="shared" si="15"/>
        <v>1.1742227391912897E-2</v>
      </c>
    </row>
    <row r="104" spans="1:17" x14ac:dyDescent="0.2">
      <c r="A104" s="1">
        <v>44712</v>
      </c>
      <c r="B104">
        <v>121.82</v>
      </c>
      <c r="C104">
        <v>57.92</v>
      </c>
      <c r="D104">
        <v>18.64</v>
      </c>
      <c r="E104" s="2">
        <v>4132.1499999999996</v>
      </c>
      <c r="F104" s="3">
        <f t="shared" si="8"/>
        <v>7.2763353729121683E-3</v>
      </c>
      <c r="G104" s="3">
        <f t="shared" si="9"/>
        <v>-2.0131957367619635E-2</v>
      </c>
      <c r="H104" s="3">
        <f t="shared" si="10"/>
        <v>-7.4547390841320782E-3</v>
      </c>
      <c r="I104" s="3">
        <f t="shared" si="11"/>
        <v>-6.2742891223209751E-3</v>
      </c>
      <c r="J104" s="12">
        <v>0.59</v>
      </c>
      <c r="K104" s="13">
        <v>-0.12</v>
      </c>
      <c r="L104" s="12">
        <v>0.65</v>
      </c>
      <c r="M104" s="20">
        <v>1.2999999999999999E-2</v>
      </c>
      <c r="N104" s="20">
        <f t="shared" si="12"/>
        <v>-5.7236646270878311E-3</v>
      </c>
      <c r="O104" s="20">
        <f t="shared" si="13"/>
        <v>-2.0454739084132076E-2</v>
      </c>
      <c r="P104" s="20">
        <f t="shared" si="14"/>
        <v>-3.3131957367619633E-2</v>
      </c>
      <c r="Q104" s="20">
        <f t="shared" si="15"/>
        <v>-1.9274289122320973E-2</v>
      </c>
    </row>
    <row r="105" spans="1:17" x14ac:dyDescent="0.2">
      <c r="A105" s="1">
        <v>44713</v>
      </c>
      <c r="B105">
        <v>119.69</v>
      </c>
      <c r="C105">
        <v>57.64</v>
      </c>
      <c r="D105">
        <v>18.29</v>
      </c>
      <c r="E105" s="2">
        <v>4101.2299999999996</v>
      </c>
      <c r="F105" s="3">
        <f t="shared" si="8"/>
        <v>-1.7484813659497611E-2</v>
      </c>
      <c r="G105" s="3">
        <f t="shared" si="9"/>
        <v>-4.8342541436464659E-3</v>
      </c>
      <c r="H105" s="3">
        <f t="shared" si="10"/>
        <v>-1.8776824034334894E-2</v>
      </c>
      <c r="I105" s="3">
        <f t="shared" si="11"/>
        <v>-7.4827874109120174E-3</v>
      </c>
      <c r="J105" s="12">
        <v>7.0000000000000007E-2</v>
      </c>
      <c r="K105" s="13">
        <v>-0.11</v>
      </c>
      <c r="L105" s="12">
        <v>0.26</v>
      </c>
      <c r="M105" s="20">
        <v>1.2999999999999999E-2</v>
      </c>
      <c r="N105" s="20">
        <f t="shared" si="12"/>
        <v>-3.0484813659497609E-2</v>
      </c>
      <c r="O105" s="20">
        <f t="shared" si="13"/>
        <v>-3.1776824034334891E-2</v>
      </c>
      <c r="P105" s="20">
        <f t="shared" si="14"/>
        <v>-1.7834254143646464E-2</v>
      </c>
      <c r="Q105" s="20">
        <f t="shared" si="15"/>
        <v>-2.0482787410912015E-2</v>
      </c>
    </row>
    <row r="106" spans="1:17" x14ac:dyDescent="0.2">
      <c r="A106" s="1">
        <v>44714</v>
      </c>
      <c r="B106">
        <v>121.61</v>
      </c>
      <c r="C106">
        <v>58.24</v>
      </c>
      <c r="D106">
        <v>19.559999999999999</v>
      </c>
      <c r="E106" s="2">
        <v>4176.82</v>
      </c>
      <c r="F106" s="3">
        <f t="shared" si="8"/>
        <v>1.6041440387668082E-2</v>
      </c>
      <c r="G106" s="3">
        <f t="shared" si="9"/>
        <v>1.0409437890353868E-2</v>
      </c>
      <c r="H106" s="3">
        <f t="shared" si="10"/>
        <v>6.9436850738108236E-2</v>
      </c>
      <c r="I106" s="3">
        <f t="shared" si="11"/>
        <v>1.8431056049039052E-2</v>
      </c>
      <c r="J106" s="12">
        <v>0.16</v>
      </c>
      <c r="K106" s="13">
        <v>-0.28999999999999998</v>
      </c>
      <c r="L106" s="12">
        <v>0.05</v>
      </c>
      <c r="M106" s="20">
        <v>1.2999999999999999E-2</v>
      </c>
      <c r="N106" s="20">
        <f t="shared" si="12"/>
        <v>3.0414403876680828E-3</v>
      </c>
      <c r="O106" s="20">
        <f t="shared" si="13"/>
        <v>5.6436850738108238E-2</v>
      </c>
      <c r="P106" s="20">
        <f t="shared" si="14"/>
        <v>-2.5905621096461318E-3</v>
      </c>
      <c r="Q106" s="20">
        <f t="shared" si="15"/>
        <v>5.4310560490390524E-3</v>
      </c>
    </row>
    <row r="107" spans="1:17" x14ac:dyDescent="0.2">
      <c r="A107" s="1">
        <v>44715</v>
      </c>
      <c r="B107">
        <v>119.92</v>
      </c>
      <c r="C107">
        <v>57.55</v>
      </c>
      <c r="D107">
        <v>18.690000000000001</v>
      </c>
      <c r="E107" s="2">
        <v>4108.54</v>
      </c>
      <c r="F107" s="3">
        <f t="shared" si="8"/>
        <v>-1.3896883479976974E-2</v>
      </c>
      <c r="G107" s="3">
        <f t="shared" si="9"/>
        <v>-1.1847527472527597E-2</v>
      </c>
      <c r="H107" s="3">
        <f t="shared" si="10"/>
        <v>-4.4478527607361817E-2</v>
      </c>
      <c r="I107" s="3">
        <f t="shared" si="11"/>
        <v>-1.6347364741597592E-2</v>
      </c>
      <c r="J107" s="12">
        <v>0.52</v>
      </c>
      <c r="K107" s="13">
        <v>-0.12</v>
      </c>
      <c r="L107" s="12">
        <v>0.18</v>
      </c>
      <c r="M107" s="20">
        <v>1.2999999999999999E-2</v>
      </c>
      <c r="N107" s="20">
        <f t="shared" si="12"/>
        <v>-2.6896883479976971E-2</v>
      </c>
      <c r="O107" s="20">
        <f t="shared" si="13"/>
        <v>-5.7478527607361815E-2</v>
      </c>
      <c r="P107" s="20">
        <f t="shared" si="14"/>
        <v>-2.4847527472527595E-2</v>
      </c>
      <c r="Q107" s="20">
        <f t="shared" si="15"/>
        <v>-2.934736474159759E-2</v>
      </c>
    </row>
    <row r="108" spans="1:17" x14ac:dyDescent="0.2">
      <c r="A108" s="1">
        <v>44718</v>
      </c>
      <c r="B108">
        <v>119.52</v>
      </c>
      <c r="C108">
        <v>57.46</v>
      </c>
      <c r="D108">
        <v>18.760000000000002</v>
      </c>
      <c r="E108" s="2">
        <v>4121.43</v>
      </c>
      <c r="F108" s="3">
        <f t="shared" si="8"/>
        <v>-3.3355570380253496E-3</v>
      </c>
      <c r="G108" s="3">
        <f t="shared" si="9"/>
        <v>-1.5638575152041589E-3</v>
      </c>
      <c r="H108" s="3">
        <f t="shared" si="10"/>
        <v>3.7453183520599342E-3</v>
      </c>
      <c r="I108" s="3">
        <f t="shared" si="11"/>
        <v>3.1373675320187644E-3</v>
      </c>
      <c r="J108" s="12">
        <v>0.13</v>
      </c>
      <c r="K108" s="12">
        <v>0.32</v>
      </c>
      <c r="L108" s="13">
        <v>-0.54</v>
      </c>
      <c r="M108" s="20">
        <v>1.2999999999999999E-2</v>
      </c>
      <c r="N108" s="20">
        <f t="shared" si="12"/>
        <v>-1.6335557038025347E-2</v>
      </c>
      <c r="O108" s="20">
        <f t="shared" si="13"/>
        <v>-9.2546816479400652E-3</v>
      </c>
      <c r="P108" s="20">
        <f t="shared" si="14"/>
        <v>-1.4563857515204158E-2</v>
      </c>
      <c r="Q108" s="20">
        <f t="shared" si="15"/>
        <v>-9.862632467981235E-3</v>
      </c>
    </row>
    <row r="109" spans="1:17" x14ac:dyDescent="0.2">
      <c r="A109" s="1">
        <v>44719</v>
      </c>
      <c r="B109">
        <v>119.83</v>
      </c>
      <c r="C109">
        <v>57.8</v>
      </c>
      <c r="D109">
        <v>18.899999999999999</v>
      </c>
      <c r="E109" s="2">
        <v>4160.68</v>
      </c>
      <c r="F109" s="3">
        <f t="shared" si="8"/>
        <v>2.5937081659972439E-3</v>
      </c>
      <c r="G109" s="3">
        <f t="shared" si="9"/>
        <v>5.9171597633136397E-3</v>
      </c>
      <c r="H109" s="3">
        <f t="shared" si="10"/>
        <v>7.4626865671640896E-3</v>
      </c>
      <c r="I109" s="3">
        <f t="shared" si="11"/>
        <v>9.5233935794130087E-3</v>
      </c>
      <c r="J109" s="14">
        <v>-0.6</v>
      </c>
      <c r="K109" s="12">
        <v>0.14000000000000001</v>
      </c>
      <c r="L109" s="12">
        <v>0.11</v>
      </c>
      <c r="M109" s="20">
        <v>1.2999999999999999E-2</v>
      </c>
      <c r="N109" s="20">
        <f t="shared" si="12"/>
        <v>-1.0406291834002756E-2</v>
      </c>
      <c r="O109" s="20">
        <f t="shared" si="13"/>
        <v>-5.5373134328359098E-3</v>
      </c>
      <c r="P109" s="20">
        <f t="shared" si="14"/>
        <v>-7.0828402366863597E-3</v>
      </c>
      <c r="Q109" s="20">
        <f t="shared" si="15"/>
        <v>-3.4766064205869907E-3</v>
      </c>
    </row>
    <row r="110" spans="1:17" x14ac:dyDescent="0.2">
      <c r="A110" s="1">
        <v>44720</v>
      </c>
      <c r="B110">
        <v>117.93</v>
      </c>
      <c r="C110">
        <v>57.48</v>
      </c>
      <c r="D110">
        <v>18.62</v>
      </c>
      <c r="E110" s="2">
        <v>4115.7700000000004</v>
      </c>
      <c r="F110" s="3">
        <f t="shared" si="8"/>
        <v>-1.5855795710589926E-2</v>
      </c>
      <c r="G110" s="3">
        <f t="shared" si="9"/>
        <v>-5.5363321799307696E-3</v>
      </c>
      <c r="H110" s="3">
        <f t="shared" si="10"/>
        <v>-1.4814814814814725E-2</v>
      </c>
      <c r="I110" s="3">
        <f t="shared" si="11"/>
        <v>-1.0793908688002896E-2</v>
      </c>
      <c r="J110" s="12">
        <v>0.67</v>
      </c>
      <c r="K110" s="12">
        <v>0.06</v>
      </c>
      <c r="L110" s="12">
        <v>0.05</v>
      </c>
      <c r="M110" s="20">
        <v>1.2999999999999999E-2</v>
      </c>
      <c r="N110" s="20">
        <f t="shared" si="12"/>
        <v>-2.8855795710589924E-2</v>
      </c>
      <c r="O110" s="20">
        <f t="shared" si="13"/>
        <v>-2.7814814814814723E-2</v>
      </c>
      <c r="P110" s="20">
        <f t="shared" si="14"/>
        <v>-1.8536332179930767E-2</v>
      </c>
      <c r="Q110" s="20">
        <f t="shared" si="15"/>
        <v>-2.3793908688002893E-2</v>
      </c>
    </row>
    <row r="111" spans="1:17" x14ac:dyDescent="0.2">
      <c r="A111" s="1">
        <v>44721</v>
      </c>
      <c r="B111">
        <v>115.45</v>
      </c>
      <c r="C111">
        <v>56.48</v>
      </c>
      <c r="D111">
        <v>18.02</v>
      </c>
      <c r="E111" s="2">
        <v>4017.82</v>
      </c>
      <c r="F111" s="3">
        <f t="shared" si="8"/>
        <v>-2.1029424234715544E-2</v>
      </c>
      <c r="G111" s="3">
        <f t="shared" si="9"/>
        <v>-1.739735560194855E-2</v>
      </c>
      <c r="H111" s="3">
        <f t="shared" si="10"/>
        <v>-3.2223415682062329E-2</v>
      </c>
      <c r="I111" s="3">
        <f t="shared" si="11"/>
        <v>-2.3798705952956634E-2</v>
      </c>
      <c r="J111" s="12">
        <v>0.24</v>
      </c>
      <c r="K111" s="13">
        <v>-0.01</v>
      </c>
      <c r="L111" s="13">
        <v>-0.39</v>
      </c>
      <c r="M111" s="20">
        <v>1.2999999999999999E-2</v>
      </c>
      <c r="N111" s="20">
        <f t="shared" si="12"/>
        <v>-3.4029424234715541E-2</v>
      </c>
      <c r="O111" s="20">
        <f t="shared" si="13"/>
        <v>-4.5223415682062326E-2</v>
      </c>
      <c r="P111" s="20">
        <f t="shared" si="14"/>
        <v>-3.0397355601948547E-2</v>
      </c>
      <c r="Q111" s="20">
        <f t="shared" si="15"/>
        <v>-3.6798705952956631E-2</v>
      </c>
    </row>
    <row r="112" spans="1:17" x14ac:dyDescent="0.2">
      <c r="A112" s="1">
        <v>44722</v>
      </c>
      <c r="B112">
        <v>110.14</v>
      </c>
      <c r="C112">
        <v>56.12</v>
      </c>
      <c r="D112">
        <v>16.95</v>
      </c>
      <c r="E112" s="2">
        <v>3900.86</v>
      </c>
      <c r="F112" s="3">
        <f t="shared" si="8"/>
        <v>-4.599393676916419E-2</v>
      </c>
      <c r="G112" s="3">
        <f t="shared" si="9"/>
        <v>-6.3739376770538536E-3</v>
      </c>
      <c r="H112" s="3">
        <f t="shared" si="10"/>
        <v>-5.9378468368479487E-2</v>
      </c>
      <c r="I112" s="3">
        <f t="shared" si="11"/>
        <v>-2.9110313553120881E-2</v>
      </c>
      <c r="J112" s="13">
        <v>-0.24</v>
      </c>
      <c r="K112" s="12">
        <v>0.13</v>
      </c>
      <c r="L112" s="13">
        <v>-0.18</v>
      </c>
      <c r="M112" s="20">
        <v>1.2999999999999999E-2</v>
      </c>
      <c r="N112" s="20">
        <f t="shared" si="12"/>
        <v>-5.8993936769164187E-2</v>
      </c>
      <c r="O112" s="20">
        <f t="shared" si="13"/>
        <v>-7.2378468368479484E-2</v>
      </c>
      <c r="P112" s="20">
        <f t="shared" si="14"/>
        <v>-1.9373937677053851E-2</v>
      </c>
      <c r="Q112" s="20">
        <f t="shared" si="15"/>
        <v>-4.2110313553120879E-2</v>
      </c>
    </row>
    <row r="113" spans="1:17" x14ac:dyDescent="0.2">
      <c r="A113" s="1">
        <v>44725</v>
      </c>
      <c r="B113">
        <v>106.86</v>
      </c>
      <c r="C113">
        <v>56.06</v>
      </c>
      <c r="D113">
        <v>15.63</v>
      </c>
      <c r="E113" s="2">
        <v>3749.63</v>
      </c>
      <c r="F113" s="3">
        <f t="shared" si="8"/>
        <v>-2.9780279644089358E-2</v>
      </c>
      <c r="G113" s="3">
        <f t="shared" si="9"/>
        <v>-1.0691375623662625E-3</v>
      </c>
      <c r="H113" s="3">
        <f t="shared" si="10"/>
        <v>-7.7876106194690209E-2</v>
      </c>
      <c r="I113" s="3">
        <f t="shared" si="11"/>
        <v>-3.8768374153391849E-2</v>
      </c>
      <c r="J113" s="12">
        <v>0.37</v>
      </c>
      <c r="K113" s="12">
        <v>0.24</v>
      </c>
      <c r="L113" s="13">
        <v>-0.18</v>
      </c>
      <c r="M113" s="20">
        <v>1.2999999999999999E-2</v>
      </c>
      <c r="N113" s="20">
        <f t="shared" si="12"/>
        <v>-4.2780279644089356E-2</v>
      </c>
      <c r="O113" s="20">
        <f t="shared" si="13"/>
        <v>-9.0876106194690207E-2</v>
      </c>
      <c r="P113" s="20">
        <f t="shared" si="14"/>
        <v>-1.4069137562366262E-2</v>
      </c>
      <c r="Q113" s="20">
        <f t="shared" si="15"/>
        <v>-5.1768374153391847E-2</v>
      </c>
    </row>
    <row r="114" spans="1:17" x14ac:dyDescent="0.2">
      <c r="A114" s="1">
        <v>44726</v>
      </c>
      <c r="B114">
        <v>105.08</v>
      </c>
      <c r="C114">
        <v>54.52</v>
      </c>
      <c r="D114">
        <v>15.81</v>
      </c>
      <c r="E114" s="2">
        <v>3735.48</v>
      </c>
      <c r="F114" s="3">
        <f t="shared" si="8"/>
        <v>-1.6657308628111545E-2</v>
      </c>
      <c r="G114" s="3">
        <f t="shared" si="9"/>
        <v>-2.7470567249375688E-2</v>
      </c>
      <c r="H114" s="3">
        <f t="shared" si="10"/>
        <v>1.1516314779270509E-2</v>
      </c>
      <c r="I114" s="3">
        <f t="shared" si="11"/>
        <v>-3.7737056722930706E-3</v>
      </c>
      <c r="J114" s="12">
        <v>0.15</v>
      </c>
      <c r="K114" s="13">
        <v>-0.28999999999999998</v>
      </c>
      <c r="L114" s="13">
        <v>-0.09</v>
      </c>
      <c r="M114" s="20">
        <v>1.2999999999999999E-2</v>
      </c>
      <c r="N114" s="20">
        <f t="shared" si="12"/>
        <v>-2.9657308628111542E-2</v>
      </c>
      <c r="O114" s="20">
        <f t="shared" si="13"/>
        <v>-1.4836852207294905E-3</v>
      </c>
      <c r="P114" s="20">
        <f t="shared" si="14"/>
        <v>-4.0470567249375686E-2</v>
      </c>
      <c r="Q114" s="20">
        <f t="shared" si="15"/>
        <v>-1.6773705672293068E-2</v>
      </c>
    </row>
    <row r="115" spans="1:17" x14ac:dyDescent="0.2">
      <c r="A115" s="1">
        <v>44727</v>
      </c>
      <c r="B115">
        <v>106.33</v>
      </c>
      <c r="C115">
        <v>54.93</v>
      </c>
      <c r="D115">
        <v>16.5</v>
      </c>
      <c r="E115" s="2">
        <v>3789.99</v>
      </c>
      <c r="F115" s="3">
        <f t="shared" si="8"/>
        <v>1.189569851541683E-2</v>
      </c>
      <c r="G115" s="3">
        <f t="shared" si="9"/>
        <v>7.5201760821717034E-3</v>
      </c>
      <c r="H115" s="3">
        <f t="shared" si="10"/>
        <v>4.3643263757115802E-2</v>
      </c>
      <c r="I115" s="3">
        <f t="shared" si="11"/>
        <v>1.4592502168395916E-2</v>
      </c>
      <c r="J115" s="13">
        <v>-0.35</v>
      </c>
      <c r="K115" s="13">
        <v>-0.33</v>
      </c>
      <c r="L115" s="12">
        <v>0.43</v>
      </c>
      <c r="M115" s="20">
        <v>1.2999999999999999E-2</v>
      </c>
      <c r="N115" s="20">
        <f t="shared" si="12"/>
        <v>-1.104301484583169E-3</v>
      </c>
      <c r="O115" s="20">
        <f t="shared" si="13"/>
        <v>3.0643263757115805E-2</v>
      </c>
      <c r="P115" s="20">
        <f t="shared" si="14"/>
        <v>-5.479823917828296E-3</v>
      </c>
      <c r="Q115" s="20">
        <f t="shared" si="15"/>
        <v>1.5925021683959161E-3</v>
      </c>
    </row>
    <row r="116" spans="1:17" x14ac:dyDescent="0.2">
      <c r="A116" s="1">
        <v>44728</v>
      </c>
      <c r="B116">
        <v>104.5</v>
      </c>
      <c r="C116">
        <v>54.37</v>
      </c>
      <c r="D116">
        <v>15.58</v>
      </c>
      <c r="E116" s="2">
        <v>3666.77</v>
      </c>
      <c r="F116" s="3">
        <f t="shared" si="8"/>
        <v>-1.7210570864290453E-2</v>
      </c>
      <c r="G116" s="3">
        <f t="shared" si="9"/>
        <v>-1.0194793373384359E-2</v>
      </c>
      <c r="H116" s="3">
        <f t="shared" si="10"/>
        <v>-5.5757575757575784E-2</v>
      </c>
      <c r="I116" s="3">
        <f t="shared" si="11"/>
        <v>-3.2511959134456814E-2</v>
      </c>
      <c r="J116" s="13">
        <v>-0.48</v>
      </c>
      <c r="K116" s="12">
        <v>0.16</v>
      </c>
      <c r="L116" s="12">
        <v>0.22</v>
      </c>
      <c r="M116" s="20">
        <v>1.2999999999999999E-2</v>
      </c>
      <c r="N116" s="20">
        <f t="shared" si="12"/>
        <v>-3.0210570864290451E-2</v>
      </c>
      <c r="O116" s="20">
        <f t="shared" si="13"/>
        <v>-6.8757575757575781E-2</v>
      </c>
      <c r="P116" s="20">
        <f t="shared" si="14"/>
        <v>-2.3194793373384356E-2</v>
      </c>
      <c r="Q116" s="20">
        <f t="shared" si="15"/>
        <v>-4.5511959134456811E-2</v>
      </c>
    </row>
    <row r="117" spans="1:17" x14ac:dyDescent="0.2">
      <c r="A117" s="1">
        <v>44729</v>
      </c>
      <c r="B117">
        <v>104.13</v>
      </c>
      <c r="C117">
        <v>54.71</v>
      </c>
      <c r="D117">
        <v>15.86</v>
      </c>
      <c r="E117" s="2">
        <v>3674.84</v>
      </c>
      <c r="F117" s="3">
        <f t="shared" si="8"/>
        <v>-3.5406698564593997E-3</v>
      </c>
      <c r="G117" s="3">
        <f t="shared" si="9"/>
        <v>6.2534485929741646E-3</v>
      </c>
      <c r="H117" s="3">
        <f t="shared" si="10"/>
        <v>1.797175866495504E-2</v>
      </c>
      <c r="I117" s="3">
        <f t="shared" si="11"/>
        <v>2.2008470670371594E-3</v>
      </c>
      <c r="J117" s="13">
        <v>-0.64</v>
      </c>
      <c r="K117" s="12">
        <v>0.59</v>
      </c>
      <c r="L117" s="12">
        <v>0.02</v>
      </c>
      <c r="M117" s="20">
        <v>1.2999999999999999E-2</v>
      </c>
      <c r="N117" s="20">
        <f t="shared" si="12"/>
        <v>-1.6540669856459397E-2</v>
      </c>
      <c r="O117" s="20">
        <f t="shared" si="13"/>
        <v>4.9717586649550404E-3</v>
      </c>
      <c r="P117" s="20">
        <f t="shared" si="14"/>
        <v>-6.7465514070258348E-3</v>
      </c>
      <c r="Q117" s="20">
        <f t="shared" si="15"/>
        <v>-1.079915293296284E-2</v>
      </c>
    </row>
    <row r="118" spans="1:17" x14ac:dyDescent="0.2">
      <c r="A118" s="1">
        <v>44733</v>
      </c>
      <c r="B118">
        <v>106.71</v>
      </c>
      <c r="C118">
        <v>55.87</v>
      </c>
      <c r="D118">
        <v>16.54</v>
      </c>
      <c r="E118" s="2">
        <v>3764.79</v>
      </c>
      <c r="F118" s="3">
        <f t="shared" si="8"/>
        <v>2.4776721405934898E-2</v>
      </c>
      <c r="G118" s="3">
        <f t="shared" si="9"/>
        <v>2.120270517272882E-2</v>
      </c>
      <c r="H118" s="3">
        <f t="shared" si="10"/>
        <v>4.2875157629255867E-2</v>
      </c>
      <c r="I118" s="3">
        <f t="shared" si="11"/>
        <v>2.447725615264873E-2</v>
      </c>
      <c r="J118" s="11">
        <v>0.4</v>
      </c>
      <c r="K118" s="12">
        <v>0.01</v>
      </c>
      <c r="L118" s="12">
        <v>0.11</v>
      </c>
      <c r="M118" s="20">
        <v>1.2999999999999999E-2</v>
      </c>
      <c r="N118" s="20">
        <f t="shared" si="12"/>
        <v>1.1776721405934899E-2</v>
      </c>
      <c r="O118" s="20">
        <f t="shared" si="13"/>
        <v>2.9875157629255869E-2</v>
      </c>
      <c r="P118" s="20">
        <f t="shared" si="14"/>
        <v>8.2027051727288202E-3</v>
      </c>
      <c r="Q118" s="20">
        <f t="shared" si="15"/>
        <v>1.147725615264873E-2</v>
      </c>
    </row>
    <row r="119" spans="1:17" x14ac:dyDescent="0.2">
      <c r="A119" s="1">
        <v>44734</v>
      </c>
      <c r="B119">
        <v>106.11</v>
      </c>
      <c r="C119">
        <v>56.29</v>
      </c>
      <c r="D119">
        <v>16.34</v>
      </c>
      <c r="E119" s="2">
        <v>3759.89</v>
      </c>
      <c r="F119" s="3">
        <f t="shared" si="8"/>
        <v>-5.6227157717176901E-3</v>
      </c>
      <c r="G119" s="3">
        <f t="shared" si="9"/>
        <v>7.517451226060512E-3</v>
      </c>
      <c r="H119" s="3">
        <f t="shared" si="10"/>
        <v>-1.2091898428053138E-2</v>
      </c>
      <c r="I119" s="3">
        <f t="shared" si="11"/>
        <v>-1.3015334188627437E-3</v>
      </c>
      <c r="J119" s="12">
        <v>0.56999999999999995</v>
      </c>
      <c r="K119" s="12">
        <v>0.16</v>
      </c>
      <c r="L119" s="14">
        <v>-0.2</v>
      </c>
      <c r="M119" s="20">
        <v>1.2999999999999999E-2</v>
      </c>
      <c r="N119" s="20">
        <f t="shared" si="12"/>
        <v>-1.8622715771717688E-2</v>
      </c>
      <c r="O119" s="20">
        <f t="shared" si="13"/>
        <v>-2.5091898428053136E-2</v>
      </c>
      <c r="P119" s="20">
        <f t="shared" si="14"/>
        <v>-5.4825487739394874E-3</v>
      </c>
      <c r="Q119" s="20">
        <f t="shared" si="15"/>
        <v>-1.4301533418862743E-2</v>
      </c>
    </row>
    <row r="120" spans="1:17" x14ac:dyDescent="0.2">
      <c r="A120" s="1">
        <v>44735</v>
      </c>
      <c r="B120">
        <v>104.95</v>
      </c>
      <c r="C120">
        <v>56.96</v>
      </c>
      <c r="D120">
        <v>16.2</v>
      </c>
      <c r="E120" s="2">
        <v>3795.73</v>
      </c>
      <c r="F120" s="3">
        <f t="shared" si="8"/>
        <v>-1.0932051644519825E-2</v>
      </c>
      <c r="G120" s="3">
        <f t="shared" si="9"/>
        <v>1.1902647006573064E-2</v>
      </c>
      <c r="H120" s="3">
        <f t="shared" si="10"/>
        <v>-8.5679314565483278E-3</v>
      </c>
      <c r="I120" s="3">
        <f t="shared" si="11"/>
        <v>9.5321937609877949E-3</v>
      </c>
      <c r="J120" s="12">
        <v>0.33</v>
      </c>
      <c r="K120" s="12">
        <v>0.05</v>
      </c>
      <c r="L120" s="12">
        <v>0.14000000000000001</v>
      </c>
      <c r="M120" s="20">
        <v>1.2999999999999999E-2</v>
      </c>
      <c r="N120" s="20">
        <f t="shared" si="12"/>
        <v>-2.3932051644519822E-2</v>
      </c>
      <c r="O120" s="20">
        <f t="shared" si="13"/>
        <v>-2.1567931456548325E-2</v>
      </c>
      <c r="P120" s="20">
        <f t="shared" si="14"/>
        <v>-1.0973529934269356E-3</v>
      </c>
      <c r="Q120" s="20">
        <f t="shared" si="15"/>
        <v>-3.4678062390122045E-3</v>
      </c>
    </row>
    <row r="121" spans="1:17" x14ac:dyDescent="0.2">
      <c r="A121" s="1">
        <v>44736</v>
      </c>
      <c r="B121">
        <v>108.09</v>
      </c>
      <c r="C121">
        <v>58.03</v>
      </c>
      <c r="D121">
        <v>17.100000000000001</v>
      </c>
      <c r="E121" s="2">
        <v>3911.74</v>
      </c>
      <c r="F121" s="3">
        <f t="shared" si="8"/>
        <v>2.9919009051929457E-2</v>
      </c>
      <c r="G121" s="3">
        <f t="shared" si="9"/>
        <v>1.8785112359550604E-2</v>
      </c>
      <c r="H121" s="3">
        <f t="shared" si="10"/>
        <v>5.555555555555558E-2</v>
      </c>
      <c r="I121" s="3">
        <f t="shared" si="11"/>
        <v>3.0563290855777359E-2</v>
      </c>
      <c r="J121" s="12">
        <v>0.08</v>
      </c>
      <c r="K121" s="13">
        <v>-0.25</v>
      </c>
      <c r="L121" s="12">
        <v>0.25</v>
      </c>
      <c r="M121" s="20">
        <v>1.2999999999999999E-2</v>
      </c>
      <c r="N121" s="20">
        <f t="shared" si="12"/>
        <v>1.6919009051929459E-2</v>
      </c>
      <c r="O121" s="20">
        <f t="shared" si="13"/>
        <v>4.2555555555555583E-2</v>
      </c>
      <c r="P121" s="20">
        <f t="shared" si="14"/>
        <v>5.7851123595506048E-3</v>
      </c>
      <c r="Q121" s="20">
        <f t="shared" si="15"/>
        <v>1.7563290855777361E-2</v>
      </c>
    </row>
    <row r="122" spans="1:17" x14ac:dyDescent="0.2">
      <c r="A122" s="1">
        <v>44739</v>
      </c>
      <c r="B122">
        <v>107.22</v>
      </c>
      <c r="C122">
        <v>57.91</v>
      </c>
      <c r="D122">
        <v>16.850000000000001</v>
      </c>
      <c r="E122" s="2">
        <v>3900.11</v>
      </c>
      <c r="F122" s="3">
        <f t="shared" si="8"/>
        <v>-8.0488481820705227E-3</v>
      </c>
      <c r="G122" s="3">
        <f t="shared" si="9"/>
        <v>-2.0678959159056154E-3</v>
      </c>
      <c r="H122" s="3">
        <f t="shared" si="10"/>
        <v>-1.4619883040935644E-2</v>
      </c>
      <c r="I122" s="3">
        <f t="shared" si="11"/>
        <v>-2.973101484249896E-3</v>
      </c>
      <c r="J122" s="11">
        <v>0.2</v>
      </c>
      <c r="K122" s="12">
        <v>0.04</v>
      </c>
      <c r="L122" s="13">
        <v>-0.05</v>
      </c>
      <c r="M122" s="20">
        <v>1.2999999999999999E-2</v>
      </c>
      <c r="N122" s="20">
        <f t="shared" si="12"/>
        <v>-2.104884818207052E-2</v>
      </c>
      <c r="O122" s="20">
        <f t="shared" si="13"/>
        <v>-2.7619883040935642E-2</v>
      </c>
      <c r="P122" s="20">
        <f t="shared" si="14"/>
        <v>-1.5067895915905615E-2</v>
      </c>
      <c r="Q122" s="20">
        <f t="shared" si="15"/>
        <v>-1.5973101484249894E-2</v>
      </c>
    </row>
    <row r="123" spans="1:17" x14ac:dyDescent="0.2">
      <c r="A123" s="1">
        <v>44740</v>
      </c>
      <c r="B123">
        <v>106.7</v>
      </c>
      <c r="C123">
        <v>57.33</v>
      </c>
      <c r="D123">
        <v>15.96</v>
      </c>
      <c r="E123" s="2">
        <v>3821.55</v>
      </c>
      <c r="F123" s="3">
        <f t="shared" si="8"/>
        <v>-4.8498414474911211E-3</v>
      </c>
      <c r="G123" s="3">
        <f t="shared" si="9"/>
        <v>-1.0015541357278557E-2</v>
      </c>
      <c r="H123" s="3">
        <f t="shared" si="10"/>
        <v>-5.2818991097922874E-2</v>
      </c>
      <c r="I123" s="3">
        <f t="shared" si="11"/>
        <v>-2.0143021607082812E-2</v>
      </c>
      <c r="J123" s="13">
        <v>-0.15</v>
      </c>
      <c r="K123" s="13">
        <v>-0.03</v>
      </c>
      <c r="L123" s="14">
        <v>-0.3</v>
      </c>
      <c r="M123" s="20">
        <v>1.2999999999999999E-2</v>
      </c>
      <c r="N123" s="20">
        <f t="shared" si="12"/>
        <v>-1.7849841447491119E-2</v>
      </c>
      <c r="O123" s="20">
        <f t="shared" si="13"/>
        <v>-6.5818991097922872E-2</v>
      </c>
      <c r="P123" s="20">
        <f t="shared" si="14"/>
        <v>-2.3015541357278554E-2</v>
      </c>
      <c r="Q123" s="20">
        <f t="shared" si="15"/>
        <v>-3.3143021607082809E-2</v>
      </c>
    </row>
    <row r="124" spans="1:17" x14ac:dyDescent="0.2">
      <c r="A124" s="1">
        <v>44741</v>
      </c>
      <c r="B124">
        <v>106.23</v>
      </c>
      <c r="C124">
        <v>57.74</v>
      </c>
      <c r="D124">
        <v>15.52</v>
      </c>
      <c r="E124" s="2">
        <v>3818.83</v>
      </c>
      <c r="F124" s="3">
        <f t="shared" si="8"/>
        <v>-4.4048734770384401E-3</v>
      </c>
      <c r="G124" s="3">
        <f t="shared" si="9"/>
        <v>7.1515785801501419E-3</v>
      </c>
      <c r="H124" s="3">
        <f t="shared" si="10"/>
        <v>-2.7568922305764465E-2</v>
      </c>
      <c r="I124" s="3">
        <f t="shared" si="11"/>
        <v>-7.1175308448145902E-4</v>
      </c>
      <c r="J124" s="13">
        <v>-0.37</v>
      </c>
      <c r="K124" s="13">
        <v>-0.14000000000000001</v>
      </c>
      <c r="L124" s="12">
        <v>0.08</v>
      </c>
      <c r="M124" s="20">
        <v>1.2999999999999999E-2</v>
      </c>
      <c r="N124" s="20">
        <f t="shared" si="12"/>
        <v>-1.7404873477038438E-2</v>
      </c>
      <c r="O124" s="20">
        <f t="shared" si="13"/>
        <v>-4.0568922305764463E-2</v>
      </c>
      <c r="P124" s="20">
        <f t="shared" si="14"/>
        <v>-5.8484214198498575E-3</v>
      </c>
      <c r="Q124" s="20">
        <f t="shared" si="15"/>
        <v>-1.3711753084481458E-2</v>
      </c>
    </row>
    <row r="125" spans="1:17" x14ac:dyDescent="0.2">
      <c r="A125" s="1">
        <v>44742</v>
      </c>
      <c r="B125">
        <v>103.75</v>
      </c>
      <c r="C125">
        <v>57.91</v>
      </c>
      <c r="D125">
        <v>15.14</v>
      </c>
      <c r="E125" s="2">
        <v>3785.38</v>
      </c>
      <c r="F125" s="3">
        <f t="shared" si="8"/>
        <v>-2.334557093099876E-2</v>
      </c>
      <c r="G125" s="3">
        <f t="shared" si="9"/>
        <v>2.9442327675786029E-3</v>
      </c>
      <c r="H125" s="3">
        <f t="shared" si="10"/>
        <v>-2.448453608247414E-2</v>
      </c>
      <c r="I125" s="3">
        <f t="shared" si="11"/>
        <v>-8.7592273026031453E-3</v>
      </c>
      <c r="J125" s="12">
        <v>0.26</v>
      </c>
      <c r="K125" s="12">
        <v>0.02</v>
      </c>
      <c r="L125" s="13">
        <v>-0.49</v>
      </c>
      <c r="M125" s="20">
        <v>1.2999999999999999E-2</v>
      </c>
      <c r="N125" s="20">
        <f t="shared" si="12"/>
        <v>-3.6345570930998758E-2</v>
      </c>
      <c r="O125" s="20">
        <f t="shared" si="13"/>
        <v>-3.7484536082474137E-2</v>
      </c>
      <c r="P125" s="20">
        <f t="shared" si="14"/>
        <v>-1.0055767232421397E-2</v>
      </c>
      <c r="Q125" s="20">
        <f t="shared" si="15"/>
        <v>-2.1759227302603143E-2</v>
      </c>
    </row>
    <row r="126" spans="1:17" x14ac:dyDescent="0.2">
      <c r="A126" s="1">
        <v>44743</v>
      </c>
      <c r="B126">
        <v>105.07</v>
      </c>
      <c r="C126">
        <v>59.26</v>
      </c>
      <c r="D126">
        <v>14.5</v>
      </c>
      <c r="E126" s="2">
        <v>3825.33</v>
      </c>
      <c r="F126" s="3">
        <f t="shared" si="8"/>
        <v>1.2722891566264938E-2</v>
      </c>
      <c r="G126" s="3">
        <f t="shared" si="9"/>
        <v>2.331203591780362E-2</v>
      </c>
      <c r="H126" s="3">
        <f t="shared" si="10"/>
        <v>-4.2272126816380484E-2</v>
      </c>
      <c r="I126" s="3">
        <f t="shared" si="11"/>
        <v>1.0553762105785847E-2</v>
      </c>
      <c r="J126" s="12">
        <v>0.36</v>
      </c>
      <c r="K126" s="12">
        <v>0.06</v>
      </c>
      <c r="L126" s="13">
        <v>-0.35</v>
      </c>
      <c r="M126" s="20">
        <v>1.0999999999999999E-2</v>
      </c>
      <c r="N126" s="20">
        <f t="shared" si="12"/>
        <v>1.7228915662649384E-3</v>
      </c>
      <c r="O126" s="20">
        <f t="shared" si="13"/>
        <v>-5.327212681638048E-2</v>
      </c>
      <c r="P126" s="20">
        <f t="shared" si="14"/>
        <v>1.231203591780362E-2</v>
      </c>
      <c r="Q126" s="20">
        <f t="shared" si="15"/>
        <v>-4.4623789421415275E-4</v>
      </c>
    </row>
    <row r="127" spans="1:17" x14ac:dyDescent="0.2">
      <c r="A127" s="1">
        <v>44747</v>
      </c>
      <c r="B127">
        <v>104.67</v>
      </c>
      <c r="C127">
        <v>58.25</v>
      </c>
      <c r="D127">
        <v>14.94</v>
      </c>
      <c r="E127" s="2">
        <v>3831.39</v>
      </c>
      <c r="F127" s="3">
        <f t="shared" si="8"/>
        <v>-3.8069858189777595E-3</v>
      </c>
      <c r="G127" s="3">
        <f t="shared" si="9"/>
        <v>-1.7043536955787975E-2</v>
      </c>
      <c r="H127" s="3">
        <f t="shared" si="10"/>
        <v>3.0344827586206824E-2</v>
      </c>
      <c r="I127" s="3">
        <f t="shared" si="11"/>
        <v>1.5841770513915776E-3</v>
      </c>
      <c r="J127" s="12">
        <v>0.51</v>
      </c>
      <c r="K127" s="12">
        <v>0.01</v>
      </c>
      <c r="L127" s="12">
        <v>0.08</v>
      </c>
      <c r="M127" s="20">
        <v>1.0999999999999999E-2</v>
      </c>
      <c r="N127" s="20">
        <f t="shared" si="12"/>
        <v>-1.4806985818977759E-2</v>
      </c>
      <c r="O127" s="20">
        <f t="shared" si="13"/>
        <v>1.9344827586206825E-2</v>
      </c>
      <c r="P127" s="20">
        <f t="shared" si="14"/>
        <v>-2.8043536955787974E-2</v>
      </c>
      <c r="Q127" s="20">
        <f t="shared" si="15"/>
        <v>-9.4158229486084218E-3</v>
      </c>
    </row>
    <row r="128" spans="1:17" x14ac:dyDescent="0.2">
      <c r="A128" s="1">
        <v>44748</v>
      </c>
      <c r="B128">
        <v>104</v>
      </c>
      <c r="C128">
        <v>58.37</v>
      </c>
      <c r="D128">
        <v>15.11</v>
      </c>
      <c r="E128" s="2">
        <v>3845.08</v>
      </c>
      <c r="F128" s="3">
        <f t="shared" si="8"/>
        <v>-6.4010700296168732E-3</v>
      </c>
      <c r="G128" s="3">
        <f t="shared" si="9"/>
        <v>2.060085836909753E-3</v>
      </c>
      <c r="H128" s="3">
        <f t="shared" si="10"/>
        <v>1.1378848728246238E-2</v>
      </c>
      <c r="I128" s="3">
        <f t="shared" si="11"/>
        <v>3.5731157621645693E-3</v>
      </c>
      <c r="J128" s="12">
        <v>0.32</v>
      </c>
      <c r="K128" s="12">
        <v>0.02</v>
      </c>
      <c r="L128" s="13">
        <v>-0.04</v>
      </c>
      <c r="M128" s="20">
        <v>1.0999999999999999E-2</v>
      </c>
      <c r="N128" s="20">
        <f t="shared" si="12"/>
        <v>-1.7401070029616873E-2</v>
      </c>
      <c r="O128" s="20">
        <f t="shared" si="13"/>
        <v>3.7884872824623869E-4</v>
      </c>
      <c r="P128" s="20">
        <f t="shared" si="14"/>
        <v>-8.9399141630902464E-3</v>
      </c>
      <c r="Q128" s="20">
        <f t="shared" si="15"/>
        <v>-7.4268842378354301E-3</v>
      </c>
    </row>
    <row r="129" spans="1:17" x14ac:dyDescent="0.2">
      <c r="A129" s="1">
        <v>44749</v>
      </c>
      <c r="B129">
        <v>106.63</v>
      </c>
      <c r="C129">
        <v>57.91</v>
      </c>
      <c r="D129">
        <v>15.84</v>
      </c>
      <c r="E129" s="2">
        <v>3902.62</v>
      </c>
      <c r="F129" s="3">
        <f t="shared" si="8"/>
        <v>2.5288461538461426E-2</v>
      </c>
      <c r="G129" s="3">
        <f t="shared" si="9"/>
        <v>-7.880760664725095E-3</v>
      </c>
      <c r="H129" s="3">
        <f t="shared" si="10"/>
        <v>4.8312375909993488E-2</v>
      </c>
      <c r="I129" s="3">
        <f t="shared" si="11"/>
        <v>1.4964578110208349E-2</v>
      </c>
      <c r="J129" s="13">
        <v>-0.17</v>
      </c>
      <c r="K129" s="12">
        <v>0.18</v>
      </c>
      <c r="L129" s="12">
        <v>0.12</v>
      </c>
      <c r="M129" s="20">
        <v>1.0999999999999999E-2</v>
      </c>
      <c r="N129" s="20">
        <f t="shared" si="12"/>
        <v>1.4288461538461427E-2</v>
      </c>
      <c r="O129" s="20">
        <f t="shared" si="13"/>
        <v>3.7312375909993492E-2</v>
      </c>
      <c r="P129" s="20">
        <f t="shared" si="14"/>
        <v>-1.8880760664725094E-2</v>
      </c>
      <c r="Q129" s="20">
        <f t="shared" si="15"/>
        <v>3.9645781102083492E-3</v>
      </c>
    </row>
    <row r="130" spans="1:17" x14ac:dyDescent="0.2">
      <c r="A130" s="1">
        <v>44750</v>
      </c>
      <c r="B130">
        <v>106.29</v>
      </c>
      <c r="C130">
        <v>58.12</v>
      </c>
      <c r="D130">
        <v>15.82</v>
      </c>
      <c r="E130" s="2">
        <v>3899.38</v>
      </c>
      <c r="F130" s="3">
        <f t="shared" si="8"/>
        <v>-3.188596079902406E-3</v>
      </c>
      <c r="G130" s="3">
        <f t="shared" si="9"/>
        <v>3.6263166983250272E-3</v>
      </c>
      <c r="H130" s="3">
        <f t="shared" si="10"/>
        <v>-1.2626262626261875E-3</v>
      </c>
      <c r="I130" s="3">
        <f t="shared" si="11"/>
        <v>-8.3021149894169088E-4</v>
      </c>
      <c r="J130" s="12">
        <v>0.04</v>
      </c>
      <c r="K130" s="11">
        <v>0.3</v>
      </c>
      <c r="L130" s="13">
        <v>-0.34</v>
      </c>
      <c r="M130" s="20">
        <v>1.0999999999999999E-2</v>
      </c>
      <c r="N130" s="20">
        <f t="shared" si="12"/>
        <v>-1.4188596079902405E-2</v>
      </c>
      <c r="O130" s="20">
        <f t="shared" si="13"/>
        <v>-1.2262626262626187E-2</v>
      </c>
      <c r="P130" s="20">
        <f t="shared" si="14"/>
        <v>-7.3736833016749721E-3</v>
      </c>
      <c r="Q130" s="20">
        <f t="shared" si="15"/>
        <v>-1.183021149894169E-2</v>
      </c>
    </row>
    <row r="131" spans="1:17" x14ac:dyDescent="0.2">
      <c r="A131" s="1">
        <v>44753</v>
      </c>
      <c r="B131">
        <v>104.9</v>
      </c>
      <c r="C131">
        <v>57.94</v>
      </c>
      <c r="D131">
        <v>15.13</v>
      </c>
      <c r="E131" s="2">
        <v>3854.43</v>
      </c>
      <c r="F131" s="3">
        <f t="shared" si="8"/>
        <v>-1.3077429673534646E-2</v>
      </c>
      <c r="G131" s="3">
        <f t="shared" si="9"/>
        <v>-3.0970406056435307E-3</v>
      </c>
      <c r="H131" s="3">
        <f t="shared" si="10"/>
        <v>-4.3615676359039179E-2</v>
      </c>
      <c r="I131" s="3">
        <f t="shared" si="11"/>
        <v>-1.1527473598367033E-2</v>
      </c>
      <c r="J131" s="13">
        <v>-0.04</v>
      </c>
      <c r="K131" s="12">
        <v>0.34</v>
      </c>
      <c r="L131" s="14">
        <v>-0.5</v>
      </c>
      <c r="M131" s="20">
        <v>1.0999999999999999E-2</v>
      </c>
      <c r="N131" s="20">
        <f t="shared" si="12"/>
        <v>-2.4077429673534646E-2</v>
      </c>
      <c r="O131" s="20">
        <f t="shared" si="13"/>
        <v>-5.4615676359039175E-2</v>
      </c>
      <c r="P131" s="20">
        <f t="shared" si="14"/>
        <v>-1.409704060564353E-2</v>
      </c>
      <c r="Q131" s="20">
        <f t="shared" si="15"/>
        <v>-2.2527473598367032E-2</v>
      </c>
    </row>
    <row r="132" spans="1:17" x14ac:dyDescent="0.2">
      <c r="A132" s="1">
        <v>44754</v>
      </c>
      <c r="B132">
        <v>105</v>
      </c>
      <c r="C132">
        <v>57.69</v>
      </c>
      <c r="D132">
        <v>15.06</v>
      </c>
      <c r="E132" s="2">
        <v>3818.8</v>
      </c>
      <c r="F132" s="3">
        <f t="shared" ref="F132:F195" si="16">(B132/B131)-1</f>
        <v>9.5328884652046142E-4</v>
      </c>
      <c r="G132" s="3">
        <f t="shared" ref="G132:G195" si="17">(C132/C131)-1</f>
        <v>-4.314808422506089E-3</v>
      </c>
      <c r="H132" s="3">
        <f t="shared" ref="H132:H195" si="18">(D132/D131)-1</f>
        <v>-4.6265697290152064E-3</v>
      </c>
      <c r="I132" s="3">
        <f t="shared" ref="I132:I195" si="19">(E132/E131)-1</f>
        <v>-9.2439089567069033E-3</v>
      </c>
      <c r="J132" s="13">
        <v>-0.08</v>
      </c>
      <c r="K132" s="12">
        <v>0.23</v>
      </c>
      <c r="L132" s="12">
        <v>0.23</v>
      </c>
      <c r="M132" s="20">
        <v>1.0999999999999999E-2</v>
      </c>
      <c r="N132" s="20">
        <f t="shared" ref="N132:N195" si="20">F132-M132</f>
        <v>-1.0046711153479538E-2</v>
      </c>
      <c r="O132" s="20">
        <f t="shared" ref="O132:O195" si="21">H132-M132</f>
        <v>-1.5626569729015206E-2</v>
      </c>
      <c r="P132" s="20">
        <f t="shared" ref="P132:P195" si="22">G132-M132</f>
        <v>-1.5314808422506088E-2</v>
      </c>
      <c r="Q132" s="20">
        <f t="shared" ref="Q132:Q195" si="23">I132-M132</f>
        <v>-2.0243908956706903E-2</v>
      </c>
    </row>
    <row r="133" spans="1:17" x14ac:dyDescent="0.2">
      <c r="A133" s="1">
        <v>44755</v>
      </c>
      <c r="B133">
        <v>104.01</v>
      </c>
      <c r="C133">
        <v>57.42</v>
      </c>
      <c r="D133">
        <v>15.14</v>
      </c>
      <c r="E133" s="2">
        <v>3801.78</v>
      </c>
      <c r="F133" s="3">
        <f t="shared" si="16"/>
        <v>-9.4285714285713418E-3</v>
      </c>
      <c r="G133" s="3">
        <f t="shared" si="17"/>
        <v>-4.6801872074881956E-3</v>
      </c>
      <c r="H133" s="3">
        <f t="shared" si="18"/>
        <v>5.312084993359889E-3</v>
      </c>
      <c r="I133" s="3">
        <f t="shared" si="19"/>
        <v>-4.4568974546977946E-3</v>
      </c>
      <c r="J133" s="12">
        <v>0.45</v>
      </c>
      <c r="K133" s="13">
        <v>-0.14000000000000001</v>
      </c>
      <c r="L133" s="12">
        <v>0.44</v>
      </c>
      <c r="M133" s="20">
        <v>1.0999999999999999E-2</v>
      </c>
      <c r="N133" s="20">
        <f t="shared" si="20"/>
        <v>-2.0428571428571341E-2</v>
      </c>
      <c r="O133" s="20">
        <f t="shared" si="21"/>
        <v>-5.6879150066401103E-3</v>
      </c>
      <c r="P133" s="20">
        <f t="shared" si="22"/>
        <v>-1.5680187207488195E-2</v>
      </c>
      <c r="Q133" s="20">
        <f t="shared" si="23"/>
        <v>-1.5456897454697794E-2</v>
      </c>
    </row>
    <row r="134" spans="1:17" x14ac:dyDescent="0.2">
      <c r="A134" s="1">
        <v>44756</v>
      </c>
      <c r="B134">
        <v>100.38</v>
      </c>
      <c r="C134">
        <v>57.24</v>
      </c>
      <c r="D134">
        <v>15.35</v>
      </c>
      <c r="E134" s="2">
        <v>3790.38</v>
      </c>
      <c r="F134" s="3">
        <f t="shared" si="16"/>
        <v>-3.4900490337467671E-2</v>
      </c>
      <c r="G134" s="3">
        <f t="shared" si="17"/>
        <v>-3.1347962382445305E-3</v>
      </c>
      <c r="H134" s="3">
        <f t="shared" si="18"/>
        <v>1.3870541611624709E-2</v>
      </c>
      <c r="I134" s="3">
        <f t="shared" si="19"/>
        <v>-2.99859539478875E-3</v>
      </c>
      <c r="J134" s="12">
        <v>0.35</v>
      </c>
      <c r="K134" s="13">
        <v>-0.15</v>
      </c>
      <c r="L134" s="12">
        <v>0.49</v>
      </c>
      <c r="M134" s="20">
        <v>1.0999999999999999E-2</v>
      </c>
      <c r="N134" s="20">
        <f t="shared" si="20"/>
        <v>-4.5900490337467667E-2</v>
      </c>
      <c r="O134" s="20">
        <f t="shared" si="21"/>
        <v>2.87054161162471E-3</v>
      </c>
      <c r="P134" s="20">
        <f t="shared" si="22"/>
        <v>-1.413479623824453E-2</v>
      </c>
      <c r="Q134" s="20">
        <f t="shared" si="23"/>
        <v>-1.3998595394788749E-2</v>
      </c>
    </row>
    <row r="135" spans="1:17" x14ac:dyDescent="0.2">
      <c r="A135" s="1">
        <v>44757</v>
      </c>
      <c r="B135">
        <v>104.98</v>
      </c>
      <c r="C135">
        <v>57.53</v>
      </c>
      <c r="D135">
        <v>15.74</v>
      </c>
      <c r="E135" s="2">
        <v>3863.16</v>
      </c>
      <c r="F135" s="3">
        <f t="shared" si="16"/>
        <v>4.5825861725443451E-2</v>
      </c>
      <c r="G135" s="3">
        <f t="shared" si="17"/>
        <v>5.066387141858808E-3</v>
      </c>
      <c r="H135" s="3">
        <f t="shared" si="18"/>
        <v>2.5407166123778469E-2</v>
      </c>
      <c r="I135" s="3">
        <f t="shared" si="19"/>
        <v>1.9201241036518768E-2</v>
      </c>
      <c r="J135" s="12">
        <v>0.09</v>
      </c>
      <c r="K135" s="13">
        <v>-0.13</v>
      </c>
      <c r="L135" s="13">
        <v>-0.45</v>
      </c>
      <c r="M135" s="20">
        <v>1.0999999999999999E-2</v>
      </c>
      <c r="N135" s="20">
        <f t="shared" si="20"/>
        <v>3.4825861725443455E-2</v>
      </c>
      <c r="O135" s="20">
        <f t="shared" si="21"/>
        <v>1.4407166123778469E-2</v>
      </c>
      <c r="P135" s="20">
        <f t="shared" si="22"/>
        <v>-5.9336128581411914E-3</v>
      </c>
      <c r="Q135" s="20">
        <f t="shared" si="23"/>
        <v>8.2012410365187687E-3</v>
      </c>
    </row>
    <row r="136" spans="1:17" x14ac:dyDescent="0.2">
      <c r="A136" s="1">
        <v>44760</v>
      </c>
      <c r="B136">
        <v>103.9</v>
      </c>
      <c r="C136">
        <v>56.75</v>
      </c>
      <c r="D136">
        <v>16.079999999999998</v>
      </c>
      <c r="E136" s="2">
        <v>3830.85</v>
      </c>
      <c r="F136" s="3">
        <f t="shared" si="16"/>
        <v>-1.0287673842636624E-2</v>
      </c>
      <c r="G136" s="3">
        <f t="shared" si="17"/>
        <v>-1.3558143577264037E-2</v>
      </c>
      <c r="H136" s="3">
        <f t="shared" si="18"/>
        <v>2.1601016518424165E-2</v>
      </c>
      <c r="I136" s="3">
        <f t="shared" si="19"/>
        <v>-8.3636194203708936E-3</v>
      </c>
      <c r="J136" s="12">
        <v>0.42</v>
      </c>
      <c r="K136" s="12">
        <v>0.62</v>
      </c>
      <c r="L136" s="12">
        <v>0.02</v>
      </c>
      <c r="M136" s="20">
        <v>1.0999999999999999E-2</v>
      </c>
      <c r="N136" s="20">
        <f t="shared" si="20"/>
        <v>-2.1287673842636624E-2</v>
      </c>
      <c r="O136" s="20">
        <f t="shared" si="21"/>
        <v>1.0601016518424166E-2</v>
      </c>
      <c r="P136" s="20">
        <f t="shared" si="22"/>
        <v>-2.4558143577264036E-2</v>
      </c>
      <c r="Q136" s="20">
        <f t="shared" si="23"/>
        <v>-1.9363619420370893E-2</v>
      </c>
    </row>
    <row r="137" spans="1:17" x14ac:dyDescent="0.2">
      <c r="A137" s="1">
        <v>44761</v>
      </c>
      <c r="B137">
        <v>106.48</v>
      </c>
      <c r="C137">
        <v>57.56</v>
      </c>
      <c r="D137">
        <v>16.97</v>
      </c>
      <c r="E137" s="2">
        <v>3936.69</v>
      </c>
      <c r="F137" s="3">
        <f t="shared" si="16"/>
        <v>2.4831568816169325E-2</v>
      </c>
      <c r="G137" s="3">
        <f t="shared" si="17"/>
        <v>1.4273127753303916E-2</v>
      </c>
      <c r="H137" s="3">
        <f t="shared" si="18"/>
        <v>5.5348258706467757E-2</v>
      </c>
      <c r="I137" s="3">
        <f t="shared" si="19"/>
        <v>2.7628333137554417E-2</v>
      </c>
      <c r="J137" s="11">
        <v>0.1</v>
      </c>
      <c r="K137" s="13">
        <v>-7.0000000000000007E-2</v>
      </c>
      <c r="L137" s="12">
        <v>0.12</v>
      </c>
      <c r="M137" s="20">
        <v>1.0999999999999999E-2</v>
      </c>
      <c r="N137" s="20">
        <f t="shared" si="20"/>
        <v>1.3831568816169326E-2</v>
      </c>
      <c r="O137" s="20">
        <f t="shared" si="21"/>
        <v>4.4348258706467761E-2</v>
      </c>
      <c r="P137" s="20">
        <f t="shared" si="22"/>
        <v>3.2731277533039164E-3</v>
      </c>
      <c r="Q137" s="20">
        <f t="shared" si="23"/>
        <v>1.6628333137554418E-2</v>
      </c>
    </row>
    <row r="138" spans="1:17" x14ac:dyDescent="0.2">
      <c r="A138" s="1">
        <v>44762</v>
      </c>
      <c r="B138">
        <v>106.46</v>
      </c>
      <c r="C138">
        <v>56.61</v>
      </c>
      <c r="D138">
        <v>17.78</v>
      </c>
      <c r="E138" s="2">
        <v>3959.9</v>
      </c>
      <c r="F138" s="3">
        <f t="shared" si="16"/>
        <v>-1.878287002254897E-4</v>
      </c>
      <c r="G138" s="3">
        <f t="shared" si="17"/>
        <v>-1.6504517025712317E-2</v>
      </c>
      <c r="H138" s="3">
        <f t="shared" si="18"/>
        <v>4.7731290512669444E-2</v>
      </c>
      <c r="I138" s="3">
        <f t="shared" si="19"/>
        <v>5.8958160281861183E-3</v>
      </c>
      <c r="J138" s="12">
        <v>0.17</v>
      </c>
      <c r="K138" s="14">
        <v>-0.2</v>
      </c>
      <c r="L138" s="12">
        <v>0.19</v>
      </c>
      <c r="M138" s="20">
        <v>1.0999999999999999E-2</v>
      </c>
      <c r="N138" s="20">
        <f t="shared" si="20"/>
        <v>-1.1187828700225489E-2</v>
      </c>
      <c r="O138" s="20">
        <f t="shared" si="21"/>
        <v>3.6731290512669448E-2</v>
      </c>
      <c r="P138" s="20">
        <f t="shared" si="22"/>
        <v>-2.7504517025712317E-2</v>
      </c>
      <c r="Q138" s="20">
        <f t="shared" si="23"/>
        <v>-5.1041839718138811E-3</v>
      </c>
    </row>
    <row r="139" spans="1:17" x14ac:dyDescent="0.2">
      <c r="A139" s="1">
        <v>44763</v>
      </c>
      <c r="B139">
        <v>107.18</v>
      </c>
      <c r="C139">
        <v>56.48</v>
      </c>
      <c r="D139">
        <v>18.03</v>
      </c>
      <c r="E139" s="2">
        <v>3998.95</v>
      </c>
      <c r="F139" s="3">
        <f t="shared" si="16"/>
        <v>6.7631035130566453E-3</v>
      </c>
      <c r="G139" s="3">
        <f t="shared" si="17"/>
        <v>-2.2964140611200223E-3</v>
      </c>
      <c r="H139" s="3">
        <f t="shared" si="18"/>
        <v>1.4060742407199012E-2</v>
      </c>
      <c r="I139" s="3">
        <f t="shared" si="19"/>
        <v>9.8613601353569891E-3</v>
      </c>
      <c r="J139" s="13">
        <v>-0.63</v>
      </c>
      <c r="K139" s="13">
        <v>-0.19</v>
      </c>
      <c r="L139" s="12">
        <v>0.03</v>
      </c>
      <c r="M139" s="20">
        <v>1.0999999999999999E-2</v>
      </c>
      <c r="N139" s="20">
        <f t="shared" si="20"/>
        <v>-4.2368964869433541E-3</v>
      </c>
      <c r="O139" s="20">
        <f t="shared" si="21"/>
        <v>3.0607424071990123E-3</v>
      </c>
      <c r="P139" s="20">
        <f t="shared" si="22"/>
        <v>-1.3296414061120022E-2</v>
      </c>
      <c r="Q139" s="20">
        <f t="shared" si="23"/>
        <v>-1.1386398646430103E-3</v>
      </c>
    </row>
    <row r="140" spans="1:17" x14ac:dyDescent="0.2">
      <c r="A140" s="1">
        <v>44764</v>
      </c>
      <c r="B140">
        <v>106.66</v>
      </c>
      <c r="C140">
        <v>56.69</v>
      </c>
      <c r="D140">
        <v>17.3</v>
      </c>
      <c r="E140" s="2">
        <v>3961.63</v>
      </c>
      <c r="F140" s="3">
        <f t="shared" si="16"/>
        <v>-4.8516514275052103E-3</v>
      </c>
      <c r="G140" s="3">
        <f t="shared" si="17"/>
        <v>3.7181303116147202E-3</v>
      </c>
      <c r="H140" s="3">
        <f t="shared" si="18"/>
        <v>-4.0488075429839232E-2</v>
      </c>
      <c r="I140" s="3">
        <f t="shared" si="19"/>
        <v>-9.3324497680640217E-3</v>
      </c>
      <c r="J140" s="12">
        <v>0.91</v>
      </c>
      <c r="K140" s="13">
        <v>-0.73</v>
      </c>
      <c r="L140" s="12">
        <v>0.64</v>
      </c>
      <c r="M140" s="20">
        <v>1.0999999999999999E-2</v>
      </c>
      <c r="N140" s="20">
        <f t="shared" si="20"/>
        <v>-1.585165142750521E-2</v>
      </c>
      <c r="O140" s="20">
        <f t="shared" si="21"/>
        <v>-5.1488075429839228E-2</v>
      </c>
      <c r="P140" s="20">
        <f t="shared" si="22"/>
        <v>-7.2818696883852792E-3</v>
      </c>
      <c r="Q140" s="20">
        <f t="shared" si="23"/>
        <v>-2.0332449768064021E-2</v>
      </c>
    </row>
    <row r="141" spans="1:17" x14ac:dyDescent="0.2">
      <c r="A141" s="1">
        <v>44767</v>
      </c>
      <c r="B141">
        <v>107.09</v>
      </c>
      <c r="C141">
        <v>57.25</v>
      </c>
      <c r="D141">
        <v>17</v>
      </c>
      <c r="E141" s="2">
        <v>3966.84</v>
      </c>
      <c r="F141" s="3">
        <f t="shared" si="16"/>
        <v>4.0315019688730303E-3</v>
      </c>
      <c r="G141" s="3">
        <f t="shared" si="17"/>
        <v>9.8782854118892871E-3</v>
      </c>
      <c r="H141" s="3">
        <f t="shared" si="18"/>
        <v>-1.7341040462427793E-2</v>
      </c>
      <c r="I141" s="3">
        <f t="shared" si="19"/>
        <v>1.3151152429682345E-3</v>
      </c>
      <c r="J141" s="12">
        <v>0.42</v>
      </c>
      <c r="K141" s="13">
        <v>-0.23</v>
      </c>
      <c r="L141" s="12">
        <v>0.22</v>
      </c>
      <c r="M141" s="20">
        <v>1.0999999999999999E-2</v>
      </c>
      <c r="N141" s="20">
        <f t="shared" si="20"/>
        <v>-6.9684980311269691E-3</v>
      </c>
      <c r="O141" s="20">
        <f t="shared" si="21"/>
        <v>-2.8341040462427792E-2</v>
      </c>
      <c r="P141" s="20">
        <f t="shared" si="22"/>
        <v>-1.1217145881107123E-3</v>
      </c>
      <c r="Q141" s="20">
        <f t="shared" si="23"/>
        <v>-9.6848847570317649E-3</v>
      </c>
    </row>
    <row r="142" spans="1:17" x14ac:dyDescent="0.2">
      <c r="A142" s="1">
        <v>44768</v>
      </c>
      <c r="B142">
        <v>105.42</v>
      </c>
      <c r="C142">
        <v>58.19</v>
      </c>
      <c r="D142">
        <v>16.510000000000002</v>
      </c>
      <c r="E142" s="2">
        <v>3921.05</v>
      </c>
      <c r="F142" s="3">
        <f t="shared" si="16"/>
        <v>-1.5594359884209541E-2</v>
      </c>
      <c r="G142" s="3">
        <f t="shared" si="17"/>
        <v>1.6419213973799085E-2</v>
      </c>
      <c r="H142" s="3">
        <f t="shared" si="18"/>
        <v>-2.8823529411764581E-2</v>
      </c>
      <c r="I142" s="3">
        <f t="shared" si="19"/>
        <v>-1.1543193070554847E-2</v>
      </c>
      <c r="J142" s="13">
        <v>-0.31</v>
      </c>
      <c r="K142" s="12">
        <v>0.06</v>
      </c>
      <c r="L142" s="14">
        <v>-0.1</v>
      </c>
      <c r="M142" s="20">
        <v>1.0999999999999999E-2</v>
      </c>
      <c r="N142" s="20">
        <f t="shared" si="20"/>
        <v>-2.659435988420954E-2</v>
      </c>
      <c r="O142" s="20">
        <f t="shared" si="21"/>
        <v>-3.9823529411764577E-2</v>
      </c>
      <c r="P142" s="20">
        <f t="shared" si="22"/>
        <v>5.4192139737990856E-3</v>
      </c>
      <c r="Q142" s="20">
        <f t="shared" si="23"/>
        <v>-2.2543193070554846E-2</v>
      </c>
    </row>
    <row r="143" spans="1:17" x14ac:dyDescent="0.2">
      <c r="A143" s="1">
        <v>44769</v>
      </c>
      <c r="B143">
        <v>107.11</v>
      </c>
      <c r="C143">
        <v>58</v>
      </c>
      <c r="D143">
        <v>17.77</v>
      </c>
      <c r="E143" s="2">
        <v>4023.61</v>
      </c>
      <c r="F143" s="3">
        <f t="shared" si="16"/>
        <v>1.6031113640675443E-2</v>
      </c>
      <c r="G143" s="3">
        <f t="shared" si="17"/>
        <v>-3.2651658360542957E-3</v>
      </c>
      <c r="H143" s="3">
        <f t="shared" si="18"/>
        <v>7.6317383403997407E-2</v>
      </c>
      <c r="I143" s="3">
        <f t="shared" si="19"/>
        <v>2.6156259165274642E-2</v>
      </c>
      <c r="J143" s="13">
        <v>-0.03</v>
      </c>
      <c r="K143" s="13">
        <v>-0.39</v>
      </c>
      <c r="L143" s="13">
        <v>-0.18</v>
      </c>
      <c r="M143" s="20">
        <v>1.0999999999999999E-2</v>
      </c>
      <c r="N143" s="20">
        <f t="shared" si="20"/>
        <v>5.0311136406754435E-3</v>
      </c>
      <c r="O143" s="20">
        <f t="shared" si="21"/>
        <v>6.5317383403997412E-2</v>
      </c>
      <c r="P143" s="20">
        <f t="shared" si="22"/>
        <v>-1.4265165836054295E-2</v>
      </c>
      <c r="Q143" s="20">
        <f t="shared" si="23"/>
        <v>1.5156259165274643E-2</v>
      </c>
    </row>
    <row r="144" spans="1:17" x14ac:dyDescent="0.2">
      <c r="A144" s="1">
        <v>44770</v>
      </c>
      <c r="B144">
        <v>106.71</v>
      </c>
      <c r="C144">
        <v>58.97</v>
      </c>
      <c r="D144">
        <v>17.96</v>
      </c>
      <c r="E144" s="2">
        <v>4072.43</v>
      </c>
      <c r="F144" s="3">
        <f t="shared" si="16"/>
        <v>-3.7344785734292341E-3</v>
      </c>
      <c r="G144" s="3">
        <f t="shared" si="17"/>
        <v>1.6724137931034555E-2</v>
      </c>
      <c r="H144" s="3">
        <f t="shared" si="18"/>
        <v>1.0692177827799743E-2</v>
      </c>
      <c r="I144" s="3">
        <f t="shared" si="19"/>
        <v>1.2133382708562568E-2</v>
      </c>
      <c r="J144" s="12">
        <v>0.02</v>
      </c>
      <c r="K144" s="13">
        <v>-0.24</v>
      </c>
      <c r="L144" s="13">
        <v>-0.45</v>
      </c>
      <c r="M144" s="20">
        <v>1.0999999999999999E-2</v>
      </c>
      <c r="N144" s="20">
        <f t="shared" si="20"/>
        <v>-1.4734478573429233E-2</v>
      </c>
      <c r="O144" s="20">
        <f t="shared" si="21"/>
        <v>-3.0782217220025679E-4</v>
      </c>
      <c r="P144" s="20">
        <f t="shared" si="22"/>
        <v>5.7241379310345557E-3</v>
      </c>
      <c r="Q144" s="20">
        <f t="shared" si="23"/>
        <v>1.1333827085625685E-3</v>
      </c>
    </row>
    <row r="145" spans="1:17" x14ac:dyDescent="0.2">
      <c r="A145" s="1">
        <v>44771</v>
      </c>
      <c r="B145">
        <v>107.22</v>
      </c>
      <c r="C145">
        <v>59.07</v>
      </c>
      <c r="D145">
        <v>18.14</v>
      </c>
      <c r="E145" s="2">
        <v>4130.29</v>
      </c>
      <c r="F145" s="3">
        <f t="shared" si="16"/>
        <v>4.779308405960192E-3</v>
      </c>
      <c r="G145" s="3">
        <f t="shared" si="17"/>
        <v>1.6957775139900821E-3</v>
      </c>
      <c r="H145" s="3">
        <f t="shared" si="18"/>
        <v>1.0022271714922093E-2</v>
      </c>
      <c r="I145" s="3">
        <f t="shared" si="19"/>
        <v>1.4207733466259809E-2</v>
      </c>
      <c r="J145" s="12">
        <v>0.28000000000000003</v>
      </c>
      <c r="K145" s="12">
        <v>0.04</v>
      </c>
      <c r="L145" s="13">
        <v>-0.51</v>
      </c>
      <c r="M145" s="20">
        <v>1.0999999999999999E-2</v>
      </c>
      <c r="N145" s="20">
        <f t="shared" si="20"/>
        <v>-6.2206915940398073E-3</v>
      </c>
      <c r="O145" s="20">
        <f t="shared" si="21"/>
        <v>-9.7772828507790635E-4</v>
      </c>
      <c r="P145" s="20">
        <f t="shared" si="22"/>
        <v>-9.3042224860099172E-3</v>
      </c>
      <c r="Q145" s="20">
        <f t="shared" si="23"/>
        <v>3.2077334662598093E-3</v>
      </c>
    </row>
    <row r="146" spans="1:17" x14ac:dyDescent="0.2">
      <c r="A146" s="1">
        <v>44774</v>
      </c>
      <c r="B146">
        <v>106.15</v>
      </c>
      <c r="C146">
        <v>59.39</v>
      </c>
      <c r="D146">
        <v>18.420000000000002</v>
      </c>
      <c r="E146" s="2">
        <v>4118.63</v>
      </c>
      <c r="F146" s="3">
        <f t="shared" si="16"/>
        <v>-9.9794814400298026E-3</v>
      </c>
      <c r="G146" s="3">
        <f t="shared" si="17"/>
        <v>5.4173015066869556E-3</v>
      </c>
      <c r="H146" s="3">
        <f t="shared" si="18"/>
        <v>1.5435501653803918E-2</v>
      </c>
      <c r="I146" s="3">
        <f t="shared" si="19"/>
        <v>-2.8230463236237346E-3</v>
      </c>
      <c r="J146" s="12">
        <v>0.31</v>
      </c>
      <c r="K146" s="12">
        <v>0.21</v>
      </c>
      <c r="L146" s="12">
        <v>0.26</v>
      </c>
      <c r="M146" s="20">
        <v>1.0999999999999999E-2</v>
      </c>
      <c r="N146" s="20">
        <f t="shared" si="20"/>
        <v>-2.0979481440029802E-2</v>
      </c>
      <c r="O146" s="20">
        <f t="shared" si="21"/>
        <v>4.4355016538039187E-3</v>
      </c>
      <c r="P146" s="20">
        <f t="shared" si="22"/>
        <v>-5.5826984933130437E-3</v>
      </c>
      <c r="Q146" s="20">
        <f t="shared" si="23"/>
        <v>-1.3823046323623734E-2</v>
      </c>
    </row>
    <row r="147" spans="1:17" x14ac:dyDescent="0.2">
      <c r="A147" s="1">
        <v>44775</v>
      </c>
      <c r="B147">
        <v>104.5</v>
      </c>
      <c r="C147">
        <v>58.58</v>
      </c>
      <c r="D147">
        <v>18.5</v>
      </c>
      <c r="E147" s="2">
        <v>4091.19</v>
      </c>
      <c r="F147" s="3">
        <f t="shared" si="16"/>
        <v>-1.5544041450777257E-2</v>
      </c>
      <c r="G147" s="3">
        <f t="shared" si="17"/>
        <v>-1.3638659707021383E-2</v>
      </c>
      <c r="H147" s="3">
        <f t="shared" si="18"/>
        <v>4.3431053203040193E-3</v>
      </c>
      <c r="I147" s="3">
        <f t="shared" si="19"/>
        <v>-6.6624095876541833E-3</v>
      </c>
      <c r="J147" s="13">
        <v>-0.22</v>
      </c>
      <c r="K147" s="13">
        <v>-0.19</v>
      </c>
      <c r="L147" s="13">
        <v>-0.33</v>
      </c>
      <c r="M147" s="20">
        <v>1.0999999999999999E-2</v>
      </c>
      <c r="N147" s="20">
        <f t="shared" si="20"/>
        <v>-2.6544041450777257E-2</v>
      </c>
      <c r="O147" s="20">
        <f t="shared" si="21"/>
        <v>-6.6568946796959801E-3</v>
      </c>
      <c r="P147" s="20">
        <f t="shared" si="22"/>
        <v>-2.4638659707021383E-2</v>
      </c>
      <c r="Q147" s="20">
        <f t="shared" si="23"/>
        <v>-1.7662409587654183E-2</v>
      </c>
    </row>
    <row r="148" spans="1:17" x14ac:dyDescent="0.2">
      <c r="A148" s="1">
        <v>44776</v>
      </c>
      <c r="B148">
        <v>105.59</v>
      </c>
      <c r="C148">
        <v>58.84</v>
      </c>
      <c r="D148">
        <v>18.87</v>
      </c>
      <c r="E148" s="2">
        <v>4155.17</v>
      </c>
      <c r="F148" s="3">
        <f t="shared" si="16"/>
        <v>1.0430622009569346E-2</v>
      </c>
      <c r="G148" s="3">
        <f t="shared" si="17"/>
        <v>4.4383748719700744E-3</v>
      </c>
      <c r="H148" s="3">
        <f t="shared" si="18"/>
        <v>2.0000000000000018E-2</v>
      </c>
      <c r="I148" s="3">
        <f t="shared" si="19"/>
        <v>1.5638481713144525E-2</v>
      </c>
      <c r="J148" s="17">
        <v>-1.07</v>
      </c>
      <c r="K148" s="13">
        <v>-0.03</v>
      </c>
      <c r="L148" s="13">
        <v>-0.22</v>
      </c>
      <c r="M148" s="20">
        <v>1.0999999999999999E-2</v>
      </c>
      <c r="N148" s="20">
        <f t="shared" si="20"/>
        <v>-5.6937799043065354E-4</v>
      </c>
      <c r="O148" s="20">
        <f t="shared" si="21"/>
        <v>9.0000000000000184E-3</v>
      </c>
      <c r="P148" s="20">
        <f t="shared" si="22"/>
        <v>-6.561625128029925E-3</v>
      </c>
      <c r="Q148" s="20">
        <f t="shared" si="23"/>
        <v>4.6384817131445259E-3</v>
      </c>
    </row>
    <row r="149" spans="1:17" x14ac:dyDescent="0.2">
      <c r="A149" s="1">
        <v>44777</v>
      </c>
      <c r="B149">
        <v>104.43</v>
      </c>
      <c r="C149">
        <v>58.61</v>
      </c>
      <c r="D149">
        <v>19.190000000000001</v>
      </c>
      <c r="E149" s="2">
        <v>4151.9399999999996</v>
      </c>
      <c r="F149" s="3">
        <f t="shared" si="16"/>
        <v>-1.0985888815228662E-2</v>
      </c>
      <c r="G149" s="3">
        <f t="shared" si="17"/>
        <v>-3.9089055064582823E-3</v>
      </c>
      <c r="H149" s="3">
        <f t="shared" si="18"/>
        <v>1.6958134605193464E-2</v>
      </c>
      <c r="I149" s="3">
        <f t="shared" si="19"/>
        <v>-7.7734484990998887E-4</v>
      </c>
      <c r="J149" s="12">
        <v>0.44</v>
      </c>
      <c r="K149" s="13">
        <v>-0.18</v>
      </c>
      <c r="L149" s="13">
        <v>-0.02</v>
      </c>
      <c r="M149" s="20">
        <v>1.0999999999999999E-2</v>
      </c>
      <c r="N149" s="20">
        <f t="shared" si="20"/>
        <v>-2.1985888815228661E-2</v>
      </c>
      <c r="O149" s="20">
        <f t="shared" si="21"/>
        <v>5.9581346051934651E-3</v>
      </c>
      <c r="P149" s="20">
        <f t="shared" si="22"/>
        <v>-1.4908905506458282E-2</v>
      </c>
      <c r="Q149" s="20">
        <f t="shared" si="23"/>
        <v>-1.1777344849909988E-2</v>
      </c>
    </row>
    <row r="150" spans="1:17" x14ac:dyDescent="0.2">
      <c r="A150" s="1">
        <v>44778</v>
      </c>
      <c r="B150">
        <v>107.59</v>
      </c>
      <c r="C150">
        <v>58.34</v>
      </c>
      <c r="D150">
        <v>18.96</v>
      </c>
      <c r="E150" s="2">
        <v>4145.1899999999996</v>
      </c>
      <c r="F150" s="3">
        <f t="shared" si="16"/>
        <v>3.0259503973953716E-2</v>
      </c>
      <c r="G150" s="3">
        <f t="shared" si="17"/>
        <v>-4.6067224023204068E-3</v>
      </c>
      <c r="H150" s="3">
        <f t="shared" si="18"/>
        <v>-1.1985409067222563E-2</v>
      </c>
      <c r="I150" s="3">
        <f t="shared" si="19"/>
        <v>-1.6257460367924415E-3</v>
      </c>
      <c r="J150" s="13">
        <v>-0.35</v>
      </c>
      <c r="K150" s="12">
        <v>0.46</v>
      </c>
      <c r="L150" s="12">
        <v>7.0000000000000007E-2</v>
      </c>
      <c r="M150" s="20">
        <v>1.0999999999999999E-2</v>
      </c>
      <c r="N150" s="20">
        <f t="shared" si="20"/>
        <v>1.9259503973953717E-2</v>
      </c>
      <c r="O150" s="20">
        <f t="shared" si="21"/>
        <v>-2.2985409067222563E-2</v>
      </c>
      <c r="P150" s="20">
        <f t="shared" si="22"/>
        <v>-1.5606722402320406E-2</v>
      </c>
      <c r="Q150" s="20">
        <f t="shared" si="23"/>
        <v>-1.2625746036792441E-2</v>
      </c>
    </row>
    <row r="151" spans="1:17" x14ac:dyDescent="0.2">
      <c r="A151" s="1">
        <v>44781</v>
      </c>
      <c r="B151">
        <v>106.28</v>
      </c>
      <c r="C151">
        <v>57.96</v>
      </c>
      <c r="D151">
        <v>17.77</v>
      </c>
      <c r="E151" s="2">
        <v>4140.0600000000004</v>
      </c>
      <c r="F151" s="3">
        <f t="shared" si="16"/>
        <v>-1.2175852774421458E-2</v>
      </c>
      <c r="G151" s="3">
        <f t="shared" si="17"/>
        <v>-6.5135413095647188E-3</v>
      </c>
      <c r="H151" s="3">
        <f t="shared" si="18"/>
        <v>-6.2763713080168815E-2</v>
      </c>
      <c r="I151" s="3">
        <f t="shared" si="19"/>
        <v>-1.2375789770792123E-3</v>
      </c>
      <c r="J151" s="12">
        <v>0.33</v>
      </c>
      <c r="K151" s="12">
        <v>0.31</v>
      </c>
      <c r="L151" s="12">
        <v>0.65</v>
      </c>
      <c r="M151" s="20">
        <v>1.0999999999999999E-2</v>
      </c>
      <c r="N151" s="20">
        <f t="shared" si="20"/>
        <v>-2.3175852774421458E-2</v>
      </c>
      <c r="O151" s="20">
        <f t="shared" si="21"/>
        <v>-7.3763713080168811E-2</v>
      </c>
      <c r="P151" s="20">
        <f t="shared" si="22"/>
        <v>-1.7513541309564718E-2</v>
      </c>
      <c r="Q151" s="20">
        <f t="shared" si="23"/>
        <v>-1.2237578977079212E-2</v>
      </c>
    </row>
    <row r="152" spans="1:17" x14ac:dyDescent="0.2">
      <c r="A152" s="1">
        <v>44782</v>
      </c>
      <c r="B152">
        <v>107.24</v>
      </c>
      <c r="C152">
        <v>58.04</v>
      </c>
      <c r="D152">
        <v>17.059999999999999</v>
      </c>
      <c r="E152" s="2">
        <v>4122.47</v>
      </c>
      <c r="F152" s="3">
        <f t="shared" si="16"/>
        <v>9.0327436958974605E-3</v>
      </c>
      <c r="G152" s="3">
        <f t="shared" si="17"/>
        <v>1.3802622498273465E-3</v>
      </c>
      <c r="H152" s="3">
        <f t="shared" si="18"/>
        <v>-3.9954980303883003E-2</v>
      </c>
      <c r="I152" s="3">
        <f t="shared" si="19"/>
        <v>-4.248730694724312E-3</v>
      </c>
      <c r="J152" s="13">
        <v>-0.79</v>
      </c>
      <c r="K152" s="12">
        <v>0.19</v>
      </c>
      <c r="L152" s="12">
        <v>0.09</v>
      </c>
      <c r="M152" s="21">
        <v>0.01</v>
      </c>
      <c r="N152" s="20">
        <f t="shared" si="20"/>
        <v>-9.672563041025397E-4</v>
      </c>
      <c r="O152" s="20">
        <f t="shared" si="21"/>
        <v>-4.9954980303883005E-2</v>
      </c>
      <c r="P152" s="20">
        <f t="shared" si="22"/>
        <v>-8.6197377501726537E-3</v>
      </c>
      <c r="Q152" s="20">
        <f t="shared" si="23"/>
        <v>-1.4248730694724312E-2</v>
      </c>
    </row>
    <row r="153" spans="1:17" x14ac:dyDescent="0.2">
      <c r="A153" s="1">
        <v>44783</v>
      </c>
      <c r="B153">
        <v>110.04</v>
      </c>
      <c r="C153">
        <v>58.59</v>
      </c>
      <c r="D153">
        <v>18.07</v>
      </c>
      <c r="E153" s="2">
        <v>4210.24</v>
      </c>
      <c r="F153" s="3">
        <f t="shared" si="16"/>
        <v>2.6109660574412663E-2</v>
      </c>
      <c r="G153" s="3">
        <f t="shared" si="17"/>
        <v>9.4762232942797731E-3</v>
      </c>
      <c r="H153" s="3">
        <f t="shared" si="18"/>
        <v>5.9202813599062321E-2</v>
      </c>
      <c r="I153" s="3">
        <f t="shared" si="19"/>
        <v>2.1290634013103604E-2</v>
      </c>
      <c r="J153" s="12">
        <v>0.31</v>
      </c>
      <c r="K153" s="12">
        <v>0.14000000000000001</v>
      </c>
      <c r="L153" s="13">
        <v>-0.66</v>
      </c>
      <c r="M153" s="21">
        <v>0.01</v>
      </c>
      <c r="N153" s="20">
        <f t="shared" si="20"/>
        <v>1.6109660574412661E-2</v>
      </c>
      <c r="O153" s="20">
        <f t="shared" si="21"/>
        <v>4.9202813599062319E-2</v>
      </c>
      <c r="P153" s="20">
        <f t="shared" si="22"/>
        <v>-5.2377670572022715E-4</v>
      </c>
      <c r="Q153" s="20">
        <f t="shared" si="23"/>
        <v>1.1290634013103604E-2</v>
      </c>
    </row>
    <row r="154" spans="1:17" x14ac:dyDescent="0.2">
      <c r="A154" s="1">
        <v>44784</v>
      </c>
      <c r="B154">
        <v>111.66</v>
      </c>
      <c r="C154">
        <v>58.19</v>
      </c>
      <c r="D154">
        <v>17.920000000000002</v>
      </c>
      <c r="E154" s="2">
        <v>4207.2700000000004</v>
      </c>
      <c r="F154" s="3">
        <f t="shared" si="16"/>
        <v>1.4721919302071784E-2</v>
      </c>
      <c r="G154" s="3">
        <f t="shared" si="17"/>
        <v>-6.8271036012972353E-3</v>
      </c>
      <c r="H154" s="3">
        <f t="shared" si="18"/>
        <v>-8.3010514665190493E-3</v>
      </c>
      <c r="I154" s="3">
        <f t="shared" si="19"/>
        <v>-7.0542296876174859E-4</v>
      </c>
      <c r="J154" s="12">
        <v>0.14000000000000001</v>
      </c>
      <c r="K154" s="12">
        <v>0.46</v>
      </c>
      <c r="L154" s="13">
        <v>-0.36</v>
      </c>
      <c r="M154" s="21">
        <v>0.01</v>
      </c>
      <c r="N154" s="20">
        <f t="shared" si="20"/>
        <v>4.721919302071784E-3</v>
      </c>
      <c r="O154" s="20">
        <f t="shared" si="21"/>
        <v>-1.8301051466519051E-2</v>
      </c>
      <c r="P154" s="20">
        <f t="shared" si="22"/>
        <v>-1.6827103601297237E-2</v>
      </c>
      <c r="Q154" s="20">
        <f t="shared" si="23"/>
        <v>-1.0705422968761749E-2</v>
      </c>
    </row>
    <row r="155" spans="1:17" x14ac:dyDescent="0.2">
      <c r="A155" s="1">
        <v>44785</v>
      </c>
      <c r="B155">
        <v>113.51</v>
      </c>
      <c r="C155">
        <v>58.64</v>
      </c>
      <c r="D155">
        <v>18.68</v>
      </c>
      <c r="E155" s="2">
        <v>4280.1499999999996</v>
      </c>
      <c r="F155" s="3">
        <f t="shared" si="16"/>
        <v>1.6568153322586543E-2</v>
      </c>
      <c r="G155" s="3">
        <f t="shared" si="17"/>
        <v>7.7332875064444195E-3</v>
      </c>
      <c r="H155" s="3">
        <f t="shared" si="18"/>
        <v>4.2410714285714191E-2</v>
      </c>
      <c r="I155" s="3">
        <f t="shared" si="19"/>
        <v>1.7322396708554288E-2</v>
      </c>
      <c r="J155" s="13">
        <v>-0.17</v>
      </c>
      <c r="K155" s="13">
        <v>-0.05</v>
      </c>
      <c r="L155" s="12">
        <v>0.15</v>
      </c>
      <c r="M155" s="21">
        <v>0.01</v>
      </c>
      <c r="N155" s="20">
        <f t="shared" si="20"/>
        <v>6.5681533225865427E-3</v>
      </c>
      <c r="O155" s="20">
        <f t="shared" si="21"/>
        <v>3.2410714285714189E-2</v>
      </c>
      <c r="P155" s="20">
        <f t="shared" si="22"/>
        <v>-2.2667124935555807E-3</v>
      </c>
      <c r="Q155" s="20">
        <f t="shared" si="23"/>
        <v>7.3223967085542883E-3</v>
      </c>
    </row>
    <row r="156" spans="1:17" x14ac:dyDescent="0.2">
      <c r="A156" s="1">
        <v>44788</v>
      </c>
      <c r="B156">
        <v>113.82</v>
      </c>
      <c r="C156">
        <v>59.37</v>
      </c>
      <c r="D156">
        <v>19.010000000000002</v>
      </c>
      <c r="E156" s="2">
        <v>4297.1400000000003</v>
      </c>
      <c r="F156" s="3">
        <f t="shared" si="16"/>
        <v>2.7310369130471024E-3</v>
      </c>
      <c r="G156" s="3">
        <f t="shared" si="17"/>
        <v>1.2448840381991788E-2</v>
      </c>
      <c r="H156" s="3">
        <f t="shared" si="18"/>
        <v>1.7665952890792314E-2</v>
      </c>
      <c r="I156" s="3">
        <f t="shared" si="19"/>
        <v>3.96948705068767E-3</v>
      </c>
      <c r="J156" s="11">
        <v>0.3</v>
      </c>
      <c r="K156" s="13">
        <v>-0.23</v>
      </c>
      <c r="L156" s="12">
        <v>0.41</v>
      </c>
      <c r="M156" s="21">
        <v>0.01</v>
      </c>
      <c r="N156" s="20">
        <f t="shared" si="20"/>
        <v>-7.2689630869528978E-3</v>
      </c>
      <c r="O156" s="20">
        <f t="shared" si="21"/>
        <v>7.6659528907923134E-3</v>
      </c>
      <c r="P156" s="20">
        <f t="shared" si="22"/>
        <v>2.4488403819917879E-3</v>
      </c>
      <c r="Q156" s="20">
        <f t="shared" si="23"/>
        <v>-6.0305129493123302E-3</v>
      </c>
    </row>
    <row r="157" spans="1:17" x14ac:dyDescent="0.2">
      <c r="A157" s="1">
        <v>44789</v>
      </c>
      <c r="B157">
        <v>114.91</v>
      </c>
      <c r="C157">
        <v>59.86</v>
      </c>
      <c r="D157">
        <v>18.850000000000001</v>
      </c>
      <c r="E157" s="2">
        <v>4305.2</v>
      </c>
      <c r="F157" s="3">
        <f t="shared" si="16"/>
        <v>9.5765243366718877E-3</v>
      </c>
      <c r="G157" s="3">
        <f t="shared" si="17"/>
        <v>8.2533265959239266E-3</v>
      </c>
      <c r="H157" s="3">
        <f t="shared" si="18"/>
        <v>-8.4166228300894819E-3</v>
      </c>
      <c r="I157" s="3">
        <f t="shared" si="19"/>
        <v>1.8756661407353103E-3</v>
      </c>
      <c r="J157" s="12">
        <v>0.39</v>
      </c>
      <c r="K157" s="13">
        <v>-0.14000000000000001</v>
      </c>
      <c r="L157" s="12">
        <v>0.21</v>
      </c>
      <c r="M157" s="21">
        <v>0.01</v>
      </c>
      <c r="N157" s="20">
        <f t="shared" si="20"/>
        <v>-4.2347566332811247E-4</v>
      </c>
      <c r="O157" s="20">
        <f t="shared" si="21"/>
        <v>-1.8416622830089484E-2</v>
      </c>
      <c r="P157" s="20">
        <f t="shared" si="22"/>
        <v>-1.7466734040760736E-3</v>
      </c>
      <c r="Q157" s="20">
        <f t="shared" si="23"/>
        <v>-8.1243338592646899E-3</v>
      </c>
    </row>
    <row r="158" spans="1:17" x14ac:dyDescent="0.2">
      <c r="A158" s="1">
        <v>44790</v>
      </c>
      <c r="B158">
        <v>113.94</v>
      </c>
      <c r="C158">
        <v>59.72</v>
      </c>
      <c r="D158">
        <v>18.309999999999999</v>
      </c>
      <c r="E158" s="2">
        <v>4274.04</v>
      </c>
      <c r="F158" s="3">
        <f t="shared" si="16"/>
        <v>-8.4413889130623421E-3</v>
      </c>
      <c r="G158" s="3">
        <f t="shared" si="17"/>
        <v>-2.3387905111927898E-3</v>
      </c>
      <c r="H158" s="3">
        <f t="shared" si="18"/>
        <v>-2.8647214854111591E-2</v>
      </c>
      <c r="I158" s="3">
        <f t="shared" si="19"/>
        <v>-7.2377589891293725E-3</v>
      </c>
      <c r="J158" s="12">
        <v>0.14000000000000001</v>
      </c>
      <c r="K158" s="12">
        <v>0.09</v>
      </c>
      <c r="L158" s="12">
        <v>0.05</v>
      </c>
      <c r="M158" s="21">
        <v>0.01</v>
      </c>
      <c r="N158" s="20">
        <f t="shared" si="20"/>
        <v>-1.8441388913062344E-2</v>
      </c>
      <c r="O158" s="20">
        <f t="shared" si="21"/>
        <v>-3.8647214854111593E-2</v>
      </c>
      <c r="P158" s="20">
        <f t="shared" si="22"/>
        <v>-1.233879051119279E-2</v>
      </c>
      <c r="Q158" s="20">
        <f t="shared" si="23"/>
        <v>-1.7237758989129374E-2</v>
      </c>
    </row>
    <row r="159" spans="1:17" x14ac:dyDescent="0.2">
      <c r="A159" s="1">
        <v>44791</v>
      </c>
      <c r="B159">
        <v>113.06</v>
      </c>
      <c r="C159">
        <v>60.04</v>
      </c>
      <c r="D159">
        <v>18.75</v>
      </c>
      <c r="E159" s="2">
        <v>4283.74</v>
      </c>
      <c r="F159" s="3">
        <f t="shared" si="16"/>
        <v>-7.7233631736001174E-3</v>
      </c>
      <c r="G159" s="3">
        <f t="shared" si="17"/>
        <v>5.3583389149363114E-3</v>
      </c>
      <c r="H159" s="3">
        <f t="shared" si="18"/>
        <v>2.403058438012029E-2</v>
      </c>
      <c r="I159" s="3">
        <f t="shared" si="19"/>
        <v>2.2695154935377104E-3</v>
      </c>
      <c r="J159" s="13">
        <v>-0.28000000000000003</v>
      </c>
      <c r="K159" s="13">
        <v>-0.33</v>
      </c>
      <c r="L159" s="12">
        <v>0.83</v>
      </c>
      <c r="M159" s="21">
        <v>0.01</v>
      </c>
      <c r="N159" s="20">
        <f t="shared" si="20"/>
        <v>-1.7723363173600119E-2</v>
      </c>
      <c r="O159" s="20">
        <f t="shared" si="21"/>
        <v>1.403058438012029E-2</v>
      </c>
      <c r="P159" s="20">
        <f t="shared" si="22"/>
        <v>-4.6416610850636888E-3</v>
      </c>
      <c r="Q159" s="20">
        <f t="shared" si="23"/>
        <v>-7.7304845064622898E-3</v>
      </c>
    </row>
    <row r="160" spans="1:17" x14ac:dyDescent="0.2">
      <c r="A160" s="1">
        <v>44792</v>
      </c>
      <c r="B160">
        <v>110.26</v>
      </c>
      <c r="C160">
        <v>59.99</v>
      </c>
      <c r="D160">
        <v>17.82</v>
      </c>
      <c r="E160" s="2">
        <v>4228.4799999999996</v>
      </c>
      <c r="F160" s="3">
        <f t="shared" si="16"/>
        <v>-2.4765611179904501E-2</v>
      </c>
      <c r="G160" s="3">
        <f t="shared" si="17"/>
        <v>-8.3277814790139182E-4</v>
      </c>
      <c r="H160" s="3">
        <f t="shared" si="18"/>
        <v>-4.9599999999999977E-2</v>
      </c>
      <c r="I160" s="3">
        <f t="shared" si="19"/>
        <v>-1.2899942573545653E-2</v>
      </c>
      <c r="J160" s="12">
        <v>7.0000000000000007E-2</v>
      </c>
      <c r="K160" s="14">
        <v>-0.1</v>
      </c>
      <c r="L160" s="12">
        <v>0.09</v>
      </c>
      <c r="M160" s="21">
        <v>0.01</v>
      </c>
      <c r="N160" s="20">
        <f t="shared" si="20"/>
        <v>-3.4765611179904503E-2</v>
      </c>
      <c r="O160" s="20">
        <f t="shared" si="21"/>
        <v>-5.9599999999999979E-2</v>
      </c>
      <c r="P160" s="20">
        <f t="shared" si="22"/>
        <v>-1.0832778147901392E-2</v>
      </c>
      <c r="Q160" s="20">
        <f t="shared" si="23"/>
        <v>-2.2899942573545655E-2</v>
      </c>
    </row>
    <row r="161" spans="1:17" x14ac:dyDescent="0.2">
      <c r="A161" s="1">
        <v>44795</v>
      </c>
      <c r="B161">
        <v>108.44</v>
      </c>
      <c r="C161">
        <v>59.1</v>
      </c>
      <c r="D161">
        <v>17.010000000000002</v>
      </c>
      <c r="E161" s="2">
        <v>4137.99</v>
      </c>
      <c r="F161" s="3">
        <f t="shared" si="16"/>
        <v>-1.6506439325231326E-2</v>
      </c>
      <c r="G161" s="3">
        <f t="shared" si="17"/>
        <v>-1.483580596766132E-2</v>
      </c>
      <c r="H161" s="3">
        <f t="shared" si="18"/>
        <v>-4.5454545454545414E-2</v>
      </c>
      <c r="I161" s="3">
        <f t="shared" si="19"/>
        <v>-2.1400124867564707E-2</v>
      </c>
      <c r="J161" s="13">
        <v>-0.04</v>
      </c>
      <c r="K161" s="12">
        <v>0.18</v>
      </c>
      <c r="L161" s="13">
        <v>-0.28000000000000003</v>
      </c>
      <c r="M161" s="21">
        <v>0.01</v>
      </c>
      <c r="N161" s="20">
        <f t="shared" si="20"/>
        <v>-2.6506439325231328E-2</v>
      </c>
      <c r="O161" s="20">
        <f t="shared" si="21"/>
        <v>-5.5454545454545416E-2</v>
      </c>
      <c r="P161" s="20">
        <f t="shared" si="22"/>
        <v>-2.4835805967661322E-2</v>
      </c>
      <c r="Q161" s="20">
        <f t="shared" si="23"/>
        <v>-3.1400124867564709E-2</v>
      </c>
    </row>
    <row r="162" spans="1:17" x14ac:dyDescent="0.2">
      <c r="A162" s="1">
        <v>44796</v>
      </c>
      <c r="B162">
        <v>107.37</v>
      </c>
      <c r="C162">
        <v>59.16</v>
      </c>
      <c r="D162">
        <v>17.16</v>
      </c>
      <c r="E162" s="2">
        <v>4128.7299999999996</v>
      </c>
      <c r="F162" s="3">
        <f t="shared" si="16"/>
        <v>-9.8672076724455327E-3</v>
      </c>
      <c r="G162" s="3">
        <f t="shared" si="17"/>
        <v>1.0152284263957867E-3</v>
      </c>
      <c r="H162" s="3">
        <f t="shared" si="18"/>
        <v>8.818342151675429E-3</v>
      </c>
      <c r="I162" s="3">
        <f t="shared" si="19"/>
        <v>-2.2378014446627903E-3</v>
      </c>
      <c r="J162" s="12">
        <v>0.05</v>
      </c>
      <c r="K162" s="13">
        <v>-0.81</v>
      </c>
      <c r="L162" s="12">
        <v>0.85</v>
      </c>
      <c r="M162" s="21">
        <v>0.01</v>
      </c>
      <c r="N162" s="20">
        <f t="shared" si="20"/>
        <v>-1.9867207672445535E-2</v>
      </c>
      <c r="O162" s="20">
        <f t="shared" si="21"/>
        <v>-1.1816578483245712E-3</v>
      </c>
      <c r="P162" s="20">
        <f t="shared" si="22"/>
        <v>-8.9847715736042135E-3</v>
      </c>
      <c r="Q162" s="20">
        <f t="shared" si="23"/>
        <v>-1.2237801444662791E-2</v>
      </c>
    </row>
    <row r="163" spans="1:17" x14ac:dyDescent="0.2">
      <c r="A163" s="1">
        <v>44797</v>
      </c>
      <c r="B163">
        <v>107.63</v>
      </c>
      <c r="C163">
        <v>59.24</v>
      </c>
      <c r="D163">
        <v>17.2</v>
      </c>
      <c r="E163" s="2">
        <v>4140.7700000000004</v>
      </c>
      <c r="F163" s="3">
        <f t="shared" si="16"/>
        <v>2.4215330166712512E-3</v>
      </c>
      <c r="G163" s="3">
        <f t="shared" si="17"/>
        <v>1.3522650439488082E-3</v>
      </c>
      <c r="H163" s="3">
        <f t="shared" si="18"/>
        <v>2.3310023310023631E-3</v>
      </c>
      <c r="I163" s="3">
        <f t="shared" si="19"/>
        <v>2.9161509713642175E-3</v>
      </c>
      <c r="J163" s="12">
        <v>0.13</v>
      </c>
      <c r="K163" s="11">
        <v>0.1</v>
      </c>
      <c r="L163" s="12">
        <v>0.84</v>
      </c>
      <c r="M163" s="21">
        <v>0.01</v>
      </c>
      <c r="N163" s="20">
        <f t="shared" si="20"/>
        <v>-7.578466983328749E-3</v>
      </c>
      <c r="O163" s="20">
        <f t="shared" si="21"/>
        <v>-7.6689976689976371E-3</v>
      </c>
      <c r="P163" s="20">
        <f t="shared" si="22"/>
        <v>-8.647734956051192E-3</v>
      </c>
      <c r="Q163" s="20">
        <f t="shared" si="23"/>
        <v>-7.0838490286357827E-3</v>
      </c>
    </row>
    <row r="164" spans="1:17" x14ac:dyDescent="0.2">
      <c r="A164" s="1">
        <v>44798</v>
      </c>
      <c r="B164">
        <v>110.19</v>
      </c>
      <c r="C164">
        <v>59.53</v>
      </c>
      <c r="D164">
        <v>17.89</v>
      </c>
      <c r="E164" s="2">
        <v>4199.12</v>
      </c>
      <c r="F164" s="3">
        <f t="shared" si="16"/>
        <v>2.3785190002787449E-2</v>
      </c>
      <c r="G164" s="3">
        <f t="shared" si="17"/>
        <v>4.8953409858203401E-3</v>
      </c>
      <c r="H164" s="3">
        <f t="shared" si="18"/>
        <v>4.0116279069767558E-2</v>
      </c>
      <c r="I164" s="3">
        <f t="shared" si="19"/>
        <v>1.4091582000449021E-2</v>
      </c>
      <c r="J164" s="13">
        <v>-0.04</v>
      </c>
      <c r="K164" s="13">
        <v>-0.11</v>
      </c>
      <c r="L164" s="12">
        <v>0.65</v>
      </c>
      <c r="M164" s="21">
        <v>0.01</v>
      </c>
      <c r="N164" s="20">
        <f t="shared" si="20"/>
        <v>1.3785190002787448E-2</v>
      </c>
      <c r="O164" s="20">
        <f t="shared" si="21"/>
        <v>3.0116279069767556E-2</v>
      </c>
      <c r="P164" s="20">
        <f t="shared" si="22"/>
        <v>-5.1046590141796602E-3</v>
      </c>
      <c r="Q164" s="20">
        <f t="shared" si="23"/>
        <v>4.0915820004490209E-3</v>
      </c>
    </row>
    <row r="165" spans="1:17" x14ac:dyDescent="0.2">
      <c r="A165" s="1">
        <v>44799</v>
      </c>
      <c r="B165">
        <v>106.58</v>
      </c>
      <c r="C165">
        <v>58.09</v>
      </c>
      <c r="D165">
        <v>16.239999999999998</v>
      </c>
      <c r="E165" s="2">
        <v>4057.66</v>
      </c>
      <c r="F165" s="3">
        <f t="shared" si="16"/>
        <v>-3.2761593611035478E-2</v>
      </c>
      <c r="G165" s="3">
        <f t="shared" si="17"/>
        <v>-2.4189484293633434E-2</v>
      </c>
      <c r="H165" s="3">
        <f t="shared" si="18"/>
        <v>-9.2230296254891098E-2</v>
      </c>
      <c r="I165" s="3">
        <f t="shared" si="19"/>
        <v>-3.3688010821315006E-2</v>
      </c>
      <c r="J165" s="13">
        <v>-0.06</v>
      </c>
      <c r="K165" s="13">
        <v>-0.24</v>
      </c>
      <c r="L165" s="12">
        <v>0.04</v>
      </c>
      <c r="M165" s="21">
        <v>0.01</v>
      </c>
      <c r="N165" s="20">
        <f t="shared" si="20"/>
        <v>-4.276159361103548E-2</v>
      </c>
      <c r="O165" s="20">
        <f t="shared" si="21"/>
        <v>-0.10223029625489109</v>
      </c>
      <c r="P165" s="20">
        <f t="shared" si="22"/>
        <v>-3.4189484293633436E-2</v>
      </c>
      <c r="Q165" s="20">
        <f t="shared" si="23"/>
        <v>-4.3688010821315008E-2</v>
      </c>
    </row>
    <row r="166" spans="1:17" x14ac:dyDescent="0.2">
      <c r="A166" s="1">
        <v>44802</v>
      </c>
      <c r="B166">
        <v>106.32</v>
      </c>
      <c r="C166">
        <v>57.74</v>
      </c>
      <c r="D166">
        <v>15.78</v>
      </c>
      <c r="E166" s="2">
        <v>4030.61</v>
      </c>
      <c r="F166" s="3">
        <f t="shared" si="16"/>
        <v>-2.4394820791894256E-3</v>
      </c>
      <c r="G166" s="3">
        <f t="shared" si="17"/>
        <v>-6.0251334136685042E-3</v>
      </c>
      <c r="H166" s="3">
        <f t="shared" si="18"/>
        <v>-2.8325123152709297E-2</v>
      </c>
      <c r="I166" s="3">
        <f t="shared" si="19"/>
        <v>-6.6664037893761074E-3</v>
      </c>
      <c r="J166" s="12">
        <v>0.61</v>
      </c>
      <c r="K166" s="13">
        <v>-0.04</v>
      </c>
      <c r="L166" s="13">
        <v>-0.72</v>
      </c>
      <c r="M166" s="21">
        <v>0.01</v>
      </c>
      <c r="N166" s="20">
        <f t="shared" si="20"/>
        <v>-1.2439482079189426E-2</v>
      </c>
      <c r="O166" s="20">
        <f t="shared" si="21"/>
        <v>-3.8325123152709299E-2</v>
      </c>
      <c r="P166" s="20">
        <f t="shared" si="22"/>
        <v>-1.6025133413668506E-2</v>
      </c>
      <c r="Q166" s="20">
        <f t="shared" si="23"/>
        <v>-1.6666403789376109E-2</v>
      </c>
    </row>
    <row r="167" spans="1:17" x14ac:dyDescent="0.2">
      <c r="A167" s="1">
        <v>44803</v>
      </c>
      <c r="B167">
        <v>106.34</v>
      </c>
      <c r="C167">
        <v>57.21</v>
      </c>
      <c r="D167">
        <v>15.45</v>
      </c>
      <c r="E167" s="2">
        <v>3986.16</v>
      </c>
      <c r="F167" s="3">
        <f t="shared" si="16"/>
        <v>1.8811136192642408E-4</v>
      </c>
      <c r="G167" s="3">
        <f t="shared" si="17"/>
        <v>-9.1790786283338921E-3</v>
      </c>
      <c r="H167" s="3">
        <f t="shared" si="18"/>
        <v>-2.0912547528517123E-2</v>
      </c>
      <c r="I167" s="3">
        <f t="shared" si="19"/>
        <v>-1.1028107408059928E-2</v>
      </c>
      <c r="J167" s="13">
        <v>-0.17</v>
      </c>
      <c r="K167" s="13">
        <v>-0.27</v>
      </c>
      <c r="L167" s="12">
        <v>7.0000000000000007E-2</v>
      </c>
      <c r="M167" s="21">
        <v>0.01</v>
      </c>
      <c r="N167" s="20">
        <f t="shared" si="20"/>
        <v>-9.8118886380735761E-3</v>
      </c>
      <c r="O167" s="20">
        <f t="shared" si="21"/>
        <v>-3.0912547528517124E-2</v>
      </c>
      <c r="P167" s="20">
        <f t="shared" si="22"/>
        <v>-1.9179078628333894E-2</v>
      </c>
      <c r="Q167" s="20">
        <f t="shared" si="23"/>
        <v>-2.102810740805993E-2</v>
      </c>
    </row>
    <row r="168" spans="1:17" x14ac:dyDescent="0.2">
      <c r="A168" s="1">
        <v>44804</v>
      </c>
      <c r="B168">
        <v>105.71</v>
      </c>
      <c r="C168">
        <v>56.8</v>
      </c>
      <c r="D168">
        <v>15.07</v>
      </c>
      <c r="E168" s="2">
        <v>3955</v>
      </c>
      <c r="F168" s="3">
        <f t="shared" si="16"/>
        <v>-5.9243934549558785E-3</v>
      </c>
      <c r="G168" s="3">
        <f t="shared" si="17"/>
        <v>-7.1665792693585972E-3</v>
      </c>
      <c r="H168" s="3">
        <f t="shared" si="18"/>
        <v>-2.459546925566336E-2</v>
      </c>
      <c r="I168" s="3">
        <f t="shared" si="19"/>
        <v>-7.8170469825595834E-3</v>
      </c>
      <c r="J168" s="13">
        <v>-0.01</v>
      </c>
      <c r="K168" s="12">
        <v>0.63</v>
      </c>
      <c r="L168" s="15">
        <v>1.25</v>
      </c>
      <c r="M168" s="21">
        <v>0.01</v>
      </c>
      <c r="N168" s="20">
        <f t="shared" si="20"/>
        <v>-1.592439345495588E-2</v>
      </c>
      <c r="O168" s="20">
        <f t="shared" si="21"/>
        <v>-3.4595469255663362E-2</v>
      </c>
      <c r="P168" s="20">
        <f t="shared" si="22"/>
        <v>-1.7166579269358599E-2</v>
      </c>
      <c r="Q168" s="20">
        <f t="shared" si="23"/>
        <v>-1.7817046982559585E-2</v>
      </c>
    </row>
    <row r="169" spans="1:17" x14ac:dyDescent="0.2">
      <c r="A169" s="1">
        <v>44805</v>
      </c>
      <c r="B169">
        <v>106.43</v>
      </c>
      <c r="C169">
        <v>57.07</v>
      </c>
      <c r="D169">
        <v>13.92</v>
      </c>
      <c r="E169" s="2">
        <v>3966.85</v>
      </c>
      <c r="F169" s="3">
        <f t="shared" si="16"/>
        <v>6.8110869359570003E-3</v>
      </c>
      <c r="G169" s="3">
        <f t="shared" si="17"/>
        <v>4.7535211267606403E-3</v>
      </c>
      <c r="H169" s="3">
        <f t="shared" si="18"/>
        <v>-7.6310550763105556E-2</v>
      </c>
      <c r="I169" s="3">
        <f t="shared" si="19"/>
        <v>2.9962073324905081E-3</v>
      </c>
      <c r="J169" s="13">
        <v>-0.36</v>
      </c>
      <c r="K169" s="12">
        <v>0.24</v>
      </c>
      <c r="L169" s="12">
        <v>0.37</v>
      </c>
      <c r="M169" s="21">
        <v>0.01</v>
      </c>
      <c r="N169" s="20">
        <f t="shared" si="20"/>
        <v>-3.1889130640429999E-3</v>
      </c>
      <c r="O169" s="20">
        <f t="shared" si="21"/>
        <v>-8.6310550763105551E-2</v>
      </c>
      <c r="P169" s="20">
        <f t="shared" si="22"/>
        <v>-5.2464788732393599E-3</v>
      </c>
      <c r="Q169" s="20">
        <f t="shared" si="23"/>
        <v>-7.0037926675094921E-3</v>
      </c>
    </row>
    <row r="170" spans="1:17" x14ac:dyDescent="0.2">
      <c r="A170" s="1">
        <v>44806</v>
      </c>
      <c r="B170">
        <v>105.69</v>
      </c>
      <c r="C170">
        <v>56.29</v>
      </c>
      <c r="D170">
        <v>13.63</v>
      </c>
      <c r="E170" s="2">
        <v>3924.26</v>
      </c>
      <c r="F170" s="3">
        <f t="shared" si="16"/>
        <v>-6.9529268063516225E-3</v>
      </c>
      <c r="G170" s="3">
        <f t="shared" si="17"/>
        <v>-1.3667425968109326E-2</v>
      </c>
      <c r="H170" s="3">
        <f t="shared" si="18"/>
        <v>-2.0833333333333259E-2</v>
      </c>
      <c r="I170" s="3">
        <f t="shared" si="19"/>
        <v>-1.0736478566116592E-2</v>
      </c>
      <c r="J170" s="13">
        <v>-0.48</v>
      </c>
      <c r="K170" s="12">
        <v>0.44</v>
      </c>
      <c r="L170" s="15">
        <v>1.49</v>
      </c>
      <c r="M170" s="21">
        <v>0.01</v>
      </c>
      <c r="N170" s="20">
        <f t="shared" si="20"/>
        <v>-1.6952926806351624E-2</v>
      </c>
      <c r="O170" s="20">
        <f t="shared" si="21"/>
        <v>-3.0833333333333261E-2</v>
      </c>
      <c r="P170" s="20">
        <f t="shared" si="22"/>
        <v>-2.3667425968109328E-2</v>
      </c>
      <c r="Q170" s="20">
        <f t="shared" si="23"/>
        <v>-2.0736478566116594E-2</v>
      </c>
    </row>
    <row r="171" spans="1:17" x14ac:dyDescent="0.2">
      <c r="A171" s="1">
        <v>44810</v>
      </c>
      <c r="B171">
        <v>105.71</v>
      </c>
      <c r="C171">
        <v>56.32</v>
      </c>
      <c r="D171">
        <v>13.45</v>
      </c>
      <c r="E171" s="2">
        <v>3908.19</v>
      </c>
      <c r="F171" s="3">
        <f t="shared" si="16"/>
        <v>1.8923266155734808E-4</v>
      </c>
      <c r="G171" s="3">
        <f t="shared" si="17"/>
        <v>5.3295434357791827E-4</v>
      </c>
      <c r="H171" s="3">
        <f t="shared" si="18"/>
        <v>-1.3206162876008953E-2</v>
      </c>
      <c r="I171" s="3">
        <f t="shared" si="19"/>
        <v>-4.095039574340209E-3</v>
      </c>
      <c r="J171" s="17">
        <v>-1.07</v>
      </c>
      <c r="K171" s="13">
        <v>-0.52</v>
      </c>
      <c r="L171" s="17">
        <v>-1.22</v>
      </c>
      <c r="M171" s="21">
        <v>0.01</v>
      </c>
      <c r="N171" s="20">
        <f t="shared" si="20"/>
        <v>-9.8107673384426521E-3</v>
      </c>
      <c r="O171" s="20">
        <f t="shared" si="21"/>
        <v>-2.3206162876008955E-2</v>
      </c>
      <c r="P171" s="20">
        <f t="shared" si="22"/>
        <v>-9.4670456564220819E-3</v>
      </c>
      <c r="Q171" s="20">
        <f t="shared" si="23"/>
        <v>-1.4095039574340209E-2</v>
      </c>
    </row>
    <row r="172" spans="1:17" x14ac:dyDescent="0.2">
      <c r="A172" s="1">
        <v>44811</v>
      </c>
      <c r="B172">
        <v>107.72</v>
      </c>
      <c r="C172">
        <v>57.36</v>
      </c>
      <c r="D172">
        <v>13.7</v>
      </c>
      <c r="E172" s="2">
        <v>3979.87</v>
      </c>
      <c r="F172" s="3">
        <f t="shared" si="16"/>
        <v>1.9014284362879552E-2</v>
      </c>
      <c r="G172" s="3">
        <f t="shared" si="17"/>
        <v>1.8465909090909172E-2</v>
      </c>
      <c r="H172" s="3">
        <f t="shared" si="18"/>
        <v>1.8587360594795488E-2</v>
      </c>
      <c r="I172" s="3">
        <f t="shared" si="19"/>
        <v>1.8340971140093032E-2</v>
      </c>
      <c r="J172" s="12">
        <v>0.19</v>
      </c>
      <c r="K172" s="12">
        <v>0.14000000000000001</v>
      </c>
      <c r="L172" s="12">
        <v>0.45</v>
      </c>
      <c r="M172" s="21">
        <v>0.01</v>
      </c>
      <c r="N172" s="20">
        <f t="shared" si="20"/>
        <v>9.0142843628795519E-3</v>
      </c>
      <c r="O172" s="20">
        <f t="shared" si="21"/>
        <v>8.5873605947954876E-3</v>
      </c>
      <c r="P172" s="20">
        <f t="shared" si="22"/>
        <v>8.4659090909091714E-3</v>
      </c>
      <c r="Q172" s="20">
        <f t="shared" si="23"/>
        <v>8.3409711400930318E-3</v>
      </c>
    </row>
    <row r="173" spans="1:17" x14ac:dyDescent="0.2">
      <c r="A173" s="1">
        <v>44812</v>
      </c>
      <c r="B173">
        <v>110.23</v>
      </c>
      <c r="C173">
        <v>57.18</v>
      </c>
      <c r="D173">
        <v>13.97</v>
      </c>
      <c r="E173" s="2">
        <v>4006.18</v>
      </c>
      <c r="F173" s="3">
        <f t="shared" si="16"/>
        <v>2.3301151132566034E-2</v>
      </c>
      <c r="G173" s="3">
        <f t="shared" si="17"/>
        <v>-3.1380753138074979E-3</v>
      </c>
      <c r="H173" s="3">
        <f t="shared" si="18"/>
        <v>1.9708029197080368E-2</v>
      </c>
      <c r="I173" s="3">
        <f t="shared" si="19"/>
        <v>6.6107686934497867E-3</v>
      </c>
      <c r="J173" s="13">
        <v>-0.35</v>
      </c>
      <c r="K173" s="13">
        <v>-0.01</v>
      </c>
      <c r="L173" s="14">
        <v>-0.4</v>
      </c>
      <c r="M173" s="21">
        <v>0.01</v>
      </c>
      <c r="N173" s="20">
        <f t="shared" si="20"/>
        <v>1.3301151132566033E-2</v>
      </c>
      <c r="O173" s="20">
        <f t="shared" si="21"/>
        <v>9.7080291970803676E-3</v>
      </c>
      <c r="P173" s="20">
        <f t="shared" si="22"/>
        <v>-1.3138075313807498E-2</v>
      </c>
      <c r="Q173" s="20">
        <f t="shared" si="23"/>
        <v>-3.3892313065502135E-3</v>
      </c>
    </row>
    <row r="174" spans="1:17" x14ac:dyDescent="0.2">
      <c r="A174" s="1">
        <v>44813</v>
      </c>
      <c r="B174">
        <v>110.76</v>
      </c>
      <c r="C174">
        <v>57.37</v>
      </c>
      <c r="D174">
        <v>14.37</v>
      </c>
      <c r="E174" s="2">
        <v>4067.36</v>
      </c>
      <c r="F174" s="3">
        <f t="shared" si="16"/>
        <v>4.8081284586773965E-3</v>
      </c>
      <c r="G174" s="3">
        <f t="shared" si="17"/>
        <v>3.3228401538998309E-3</v>
      </c>
      <c r="H174" s="3">
        <f t="shared" si="18"/>
        <v>2.8632784538296319E-2</v>
      </c>
      <c r="I174" s="3">
        <f t="shared" si="19"/>
        <v>1.5271405678227268E-2</v>
      </c>
      <c r="J174" s="12">
        <v>0.16</v>
      </c>
      <c r="K174" s="12">
        <v>0.17</v>
      </c>
      <c r="L174" s="12">
        <v>0.74</v>
      </c>
      <c r="M174" s="21">
        <v>0.01</v>
      </c>
      <c r="N174" s="20">
        <f t="shared" si="20"/>
        <v>-5.1918715413226037E-3</v>
      </c>
      <c r="O174" s="20">
        <f t="shared" si="21"/>
        <v>1.8632784538296317E-2</v>
      </c>
      <c r="P174" s="20">
        <f t="shared" si="22"/>
        <v>-6.6771598461001693E-3</v>
      </c>
      <c r="Q174" s="20">
        <f t="shared" si="23"/>
        <v>5.2714056782272676E-3</v>
      </c>
    </row>
    <row r="175" spans="1:17" x14ac:dyDescent="0.2">
      <c r="A175" s="1">
        <v>44816</v>
      </c>
      <c r="B175">
        <v>112.07</v>
      </c>
      <c r="C175">
        <v>57.53</v>
      </c>
      <c r="D175">
        <v>14.49</v>
      </c>
      <c r="E175" s="2">
        <v>4110.41</v>
      </c>
      <c r="F175" s="3">
        <f t="shared" si="16"/>
        <v>1.1827374503430743E-2</v>
      </c>
      <c r="G175" s="3">
        <f t="shared" si="17"/>
        <v>2.788914066585324E-3</v>
      </c>
      <c r="H175" s="3">
        <f t="shared" si="18"/>
        <v>8.3507306889354371E-3</v>
      </c>
      <c r="I175" s="3">
        <f t="shared" si="19"/>
        <v>1.058426104401855E-2</v>
      </c>
      <c r="J175" s="12">
        <v>0.73</v>
      </c>
      <c r="K175" s="13">
        <v>-0.38</v>
      </c>
      <c r="L175" s="13">
        <v>-0.33</v>
      </c>
      <c r="M175" s="21">
        <v>0.01</v>
      </c>
      <c r="N175" s="20">
        <f t="shared" si="20"/>
        <v>1.8273745034307429E-3</v>
      </c>
      <c r="O175" s="20">
        <f t="shared" si="21"/>
        <v>-1.6492693110645631E-3</v>
      </c>
      <c r="P175" s="20">
        <f t="shared" si="22"/>
        <v>-7.2110859334146762E-3</v>
      </c>
      <c r="Q175" s="20">
        <f t="shared" si="23"/>
        <v>5.8426104401855007E-4</v>
      </c>
    </row>
    <row r="176" spans="1:17" x14ac:dyDescent="0.2">
      <c r="A176" s="1">
        <v>44817</v>
      </c>
      <c r="B176">
        <v>108.18</v>
      </c>
      <c r="C176">
        <v>55.66</v>
      </c>
      <c r="D176">
        <v>13.12</v>
      </c>
      <c r="E176" s="2">
        <v>3932.69</v>
      </c>
      <c r="F176" s="3">
        <f t="shared" si="16"/>
        <v>-3.4710448826626106E-2</v>
      </c>
      <c r="G176" s="3">
        <f t="shared" si="17"/>
        <v>-3.2504780114722798E-2</v>
      </c>
      <c r="H176" s="3">
        <f t="shared" si="18"/>
        <v>-9.454796411318156E-2</v>
      </c>
      <c r="I176" s="3">
        <f t="shared" si="19"/>
        <v>-4.3236562775976095E-2</v>
      </c>
      <c r="J176" s="12">
        <v>0.61</v>
      </c>
      <c r="K176" s="12">
        <v>0.14000000000000001</v>
      </c>
      <c r="L176" s="13">
        <v>-0.06</v>
      </c>
      <c r="M176" s="21">
        <v>0.01</v>
      </c>
      <c r="N176" s="20">
        <f t="shared" si="20"/>
        <v>-4.4710448826626108E-2</v>
      </c>
      <c r="O176" s="20">
        <f t="shared" si="21"/>
        <v>-0.10454796411318155</v>
      </c>
      <c r="P176" s="20">
        <f t="shared" si="22"/>
        <v>-4.25047801147228E-2</v>
      </c>
      <c r="Q176" s="20">
        <f t="shared" si="23"/>
        <v>-5.3236562775976097E-2</v>
      </c>
    </row>
    <row r="177" spans="1:17" x14ac:dyDescent="0.2">
      <c r="A177" s="1">
        <v>44818</v>
      </c>
      <c r="B177">
        <v>107.93</v>
      </c>
      <c r="C177">
        <v>55.96</v>
      </c>
      <c r="D177">
        <v>13.11</v>
      </c>
      <c r="E177" s="2">
        <v>3946.01</v>
      </c>
      <c r="F177" s="3">
        <f t="shared" si="16"/>
        <v>-2.3109632094656662E-3</v>
      </c>
      <c r="G177" s="3">
        <f t="shared" si="17"/>
        <v>5.389867049946151E-3</v>
      </c>
      <c r="H177" s="3">
        <f t="shared" si="18"/>
        <v>-7.6219512195119243E-4</v>
      </c>
      <c r="I177" s="3">
        <f t="shared" si="19"/>
        <v>3.3869946525153516E-3</v>
      </c>
      <c r="J177" s="13">
        <v>-0.01</v>
      </c>
      <c r="K177" s="12">
        <v>0.57999999999999996</v>
      </c>
      <c r="L177" s="15">
        <v>1.04</v>
      </c>
      <c r="M177" s="20">
        <v>1.2E-2</v>
      </c>
      <c r="N177" s="20">
        <f t="shared" si="20"/>
        <v>-1.4310963209465666E-2</v>
      </c>
      <c r="O177" s="20">
        <f t="shared" si="21"/>
        <v>-1.2762195121951193E-2</v>
      </c>
      <c r="P177" s="20">
        <f t="shared" si="22"/>
        <v>-6.6101329500538493E-3</v>
      </c>
      <c r="Q177" s="20">
        <f t="shared" si="23"/>
        <v>-8.6130053474846487E-3</v>
      </c>
    </row>
    <row r="178" spans="1:17" x14ac:dyDescent="0.2">
      <c r="A178" s="1">
        <v>44819</v>
      </c>
      <c r="B178">
        <v>109.55</v>
      </c>
      <c r="C178">
        <v>55.2</v>
      </c>
      <c r="D178">
        <v>12.92</v>
      </c>
      <c r="E178" s="2">
        <v>3901.35</v>
      </c>
      <c r="F178" s="3">
        <f t="shared" si="16"/>
        <v>1.5009728527749289E-2</v>
      </c>
      <c r="G178" s="3">
        <f t="shared" si="17"/>
        <v>-1.3581129378127166E-2</v>
      </c>
      <c r="H178" s="3">
        <f t="shared" si="18"/>
        <v>-1.4492753623188359E-2</v>
      </c>
      <c r="I178" s="3">
        <f t="shared" si="19"/>
        <v>-1.1317761485652666E-2</v>
      </c>
      <c r="J178" s="11">
        <v>0.7</v>
      </c>
      <c r="K178" s="13">
        <v>-0.19</v>
      </c>
      <c r="L178" s="12">
        <v>7.0000000000000007E-2</v>
      </c>
      <c r="M178" s="20">
        <v>1.2E-2</v>
      </c>
      <c r="N178" s="20">
        <f t="shared" si="20"/>
        <v>3.0097285277492884E-3</v>
      </c>
      <c r="O178" s="20">
        <f t="shared" si="21"/>
        <v>-2.6492753623188359E-2</v>
      </c>
      <c r="P178" s="20">
        <f t="shared" si="22"/>
        <v>-2.5581129378127166E-2</v>
      </c>
      <c r="Q178" s="20">
        <f t="shared" si="23"/>
        <v>-2.3317761485652667E-2</v>
      </c>
    </row>
    <row r="179" spans="1:17" x14ac:dyDescent="0.2">
      <c r="A179" s="1">
        <v>44820</v>
      </c>
      <c r="B179">
        <v>108.82</v>
      </c>
      <c r="C179">
        <v>55.21</v>
      </c>
      <c r="D179">
        <v>13.18</v>
      </c>
      <c r="E179" s="2">
        <v>3873.33</v>
      </c>
      <c r="F179" s="3">
        <f t="shared" si="16"/>
        <v>-6.663623916020156E-3</v>
      </c>
      <c r="G179" s="3">
        <f t="shared" si="17"/>
        <v>1.8115942028984477E-4</v>
      </c>
      <c r="H179" s="3">
        <f t="shared" si="18"/>
        <v>2.0123839009287936E-2</v>
      </c>
      <c r="I179" s="3">
        <f t="shared" si="19"/>
        <v>-7.1821292629474787E-3</v>
      </c>
      <c r="J179" s="12">
        <v>0.17</v>
      </c>
      <c r="K179" s="12">
        <v>0.23</v>
      </c>
      <c r="L179" s="13">
        <v>-0.09</v>
      </c>
      <c r="M179" s="20">
        <v>1.2E-2</v>
      </c>
      <c r="N179" s="20">
        <f t="shared" si="20"/>
        <v>-1.8663623916020156E-2</v>
      </c>
      <c r="O179" s="20">
        <f t="shared" si="21"/>
        <v>8.1238390092879358E-3</v>
      </c>
      <c r="P179" s="20">
        <f t="shared" si="22"/>
        <v>-1.1818840579710155E-2</v>
      </c>
      <c r="Q179" s="20">
        <f t="shared" si="23"/>
        <v>-1.9182129262947479E-2</v>
      </c>
    </row>
    <row r="180" spans="1:17" x14ac:dyDescent="0.2">
      <c r="A180" s="1">
        <v>44823</v>
      </c>
      <c r="B180">
        <v>109.82</v>
      </c>
      <c r="C180">
        <v>55.62</v>
      </c>
      <c r="D180">
        <v>13.37</v>
      </c>
      <c r="E180" s="2">
        <v>3899.89</v>
      </c>
      <c r="F180" s="3">
        <f t="shared" si="16"/>
        <v>9.1894872266127248E-3</v>
      </c>
      <c r="G180" s="3">
        <f t="shared" si="17"/>
        <v>7.42619090744423E-3</v>
      </c>
      <c r="H180" s="3">
        <f t="shared" si="18"/>
        <v>1.4415781487101542E-2</v>
      </c>
      <c r="I180" s="3">
        <f t="shared" si="19"/>
        <v>6.8571487583035662E-3</v>
      </c>
      <c r="J180" s="12">
        <v>0.37</v>
      </c>
      <c r="K180" s="12">
        <v>0.18</v>
      </c>
      <c r="L180" s="15">
        <v>1.28</v>
      </c>
      <c r="M180" s="20">
        <v>1.2E-2</v>
      </c>
      <c r="N180" s="20">
        <f t="shared" si="20"/>
        <v>-2.8105127733872755E-3</v>
      </c>
      <c r="O180" s="20">
        <f t="shared" si="21"/>
        <v>2.4157814871015419E-3</v>
      </c>
      <c r="P180" s="20">
        <f t="shared" si="22"/>
        <v>-4.5738090925557702E-3</v>
      </c>
      <c r="Q180" s="20">
        <f t="shared" si="23"/>
        <v>-5.1428512416964341E-3</v>
      </c>
    </row>
    <row r="181" spans="1:17" x14ac:dyDescent="0.2">
      <c r="A181" s="1">
        <v>44824</v>
      </c>
      <c r="B181">
        <v>107.66</v>
      </c>
      <c r="C181">
        <v>55.54</v>
      </c>
      <c r="D181">
        <v>13.16</v>
      </c>
      <c r="E181" s="2">
        <v>3855.93</v>
      </c>
      <c r="F181" s="3">
        <f t="shared" si="16"/>
        <v>-1.9668548533964603E-2</v>
      </c>
      <c r="G181" s="3">
        <f t="shared" si="17"/>
        <v>-1.4383315354188353E-3</v>
      </c>
      <c r="H181" s="3">
        <f t="shared" si="18"/>
        <v>-1.5706806282722474E-2</v>
      </c>
      <c r="I181" s="3">
        <f t="shared" si="19"/>
        <v>-1.1272112803181633E-2</v>
      </c>
      <c r="J181" s="13">
        <v>-0.18</v>
      </c>
      <c r="K181" s="11">
        <v>0.3</v>
      </c>
      <c r="L181" s="12">
        <v>0.47</v>
      </c>
      <c r="M181" s="20">
        <v>1.2E-2</v>
      </c>
      <c r="N181" s="20">
        <f t="shared" si="20"/>
        <v>-3.1668548533964599E-2</v>
      </c>
      <c r="O181" s="20">
        <f t="shared" si="21"/>
        <v>-2.7706806282722474E-2</v>
      </c>
      <c r="P181" s="20">
        <f t="shared" si="22"/>
        <v>-1.3438331535418836E-2</v>
      </c>
      <c r="Q181" s="20">
        <f t="shared" si="23"/>
        <v>-2.3272112803181633E-2</v>
      </c>
    </row>
    <row r="182" spans="1:17" x14ac:dyDescent="0.2">
      <c r="A182" s="1">
        <v>44825</v>
      </c>
      <c r="B182">
        <v>104.55</v>
      </c>
      <c r="C182">
        <v>55.08</v>
      </c>
      <c r="D182">
        <v>13.25</v>
      </c>
      <c r="E182" s="2">
        <v>3789.93</v>
      </c>
      <c r="F182" s="3">
        <f t="shared" si="16"/>
        <v>-2.8887237599851345E-2</v>
      </c>
      <c r="G182" s="3">
        <f t="shared" si="17"/>
        <v>-8.2823190493338528E-3</v>
      </c>
      <c r="H182" s="3">
        <f t="shared" si="18"/>
        <v>6.8389057750759541E-3</v>
      </c>
      <c r="I182" s="3">
        <f t="shared" si="19"/>
        <v>-1.7116493297336777E-2</v>
      </c>
      <c r="J182" s="13">
        <v>-0.13</v>
      </c>
      <c r="K182" s="12">
        <v>0.62</v>
      </c>
      <c r="L182" s="11">
        <v>0.5</v>
      </c>
      <c r="M182" s="20">
        <v>1.2E-2</v>
      </c>
      <c r="N182" s="20">
        <f t="shared" si="20"/>
        <v>-4.0887237599851342E-2</v>
      </c>
      <c r="O182" s="20">
        <f t="shared" si="21"/>
        <v>-5.1610942249240462E-3</v>
      </c>
      <c r="P182" s="20">
        <f t="shared" si="22"/>
        <v>-2.0282319049333853E-2</v>
      </c>
      <c r="Q182" s="20">
        <f t="shared" si="23"/>
        <v>-2.9116493297336777E-2</v>
      </c>
    </row>
    <row r="183" spans="1:17" x14ac:dyDescent="0.2">
      <c r="A183" s="1">
        <v>44826</v>
      </c>
      <c r="B183">
        <v>103.36</v>
      </c>
      <c r="C183">
        <v>54.95</v>
      </c>
      <c r="D183">
        <v>12.55</v>
      </c>
      <c r="E183" s="2">
        <v>3757.99</v>
      </c>
      <c r="F183" s="3">
        <f t="shared" si="16"/>
        <v>-1.1382113821138184E-2</v>
      </c>
      <c r="G183" s="3">
        <f t="shared" si="17"/>
        <v>-2.3602033405953904E-3</v>
      </c>
      <c r="H183" s="3">
        <f t="shared" si="18"/>
        <v>-5.2830188679245271E-2</v>
      </c>
      <c r="I183" s="3">
        <f t="shared" si="19"/>
        <v>-8.4275962880581146E-3</v>
      </c>
      <c r="J183" s="11">
        <v>0.1</v>
      </c>
      <c r="K183" s="12">
        <v>0.28000000000000003</v>
      </c>
      <c r="L183" s="12">
        <v>0.89</v>
      </c>
      <c r="M183" s="20">
        <v>1.2E-2</v>
      </c>
      <c r="N183" s="20">
        <f t="shared" si="20"/>
        <v>-2.3382113821138185E-2</v>
      </c>
      <c r="O183" s="20">
        <f t="shared" si="21"/>
        <v>-6.4830188679245268E-2</v>
      </c>
      <c r="P183" s="20">
        <f t="shared" si="22"/>
        <v>-1.4360203340595391E-2</v>
      </c>
      <c r="Q183" s="20">
        <f t="shared" si="23"/>
        <v>-2.0427596288058115E-2</v>
      </c>
    </row>
    <row r="184" spans="1:17" x14ac:dyDescent="0.2">
      <c r="A184" s="1">
        <v>44827</v>
      </c>
      <c r="B184">
        <v>101.44</v>
      </c>
      <c r="C184">
        <v>54.34</v>
      </c>
      <c r="D184">
        <v>12.5</v>
      </c>
      <c r="E184" s="2">
        <v>3693.23</v>
      </c>
      <c r="F184" s="3">
        <f t="shared" si="16"/>
        <v>-1.8575851393188847E-2</v>
      </c>
      <c r="G184" s="3">
        <f t="shared" si="17"/>
        <v>-1.1101000909918057E-2</v>
      </c>
      <c r="H184" s="3">
        <f t="shared" si="18"/>
        <v>-3.9840637450200278E-3</v>
      </c>
      <c r="I184" s="3">
        <f t="shared" si="19"/>
        <v>-1.7232616372049869E-2</v>
      </c>
      <c r="J184" s="12">
        <v>0.04</v>
      </c>
      <c r="K184" s="13">
        <v>-0.88</v>
      </c>
      <c r="L184" s="13">
        <v>-0.56000000000000005</v>
      </c>
      <c r="M184" s="20">
        <v>1.2E-2</v>
      </c>
      <c r="N184" s="20">
        <f t="shared" si="20"/>
        <v>-3.0575851393188847E-2</v>
      </c>
      <c r="O184" s="20">
        <f t="shared" si="21"/>
        <v>-1.5984063745020028E-2</v>
      </c>
      <c r="P184" s="20">
        <f t="shared" si="22"/>
        <v>-2.3101000909918058E-2</v>
      </c>
      <c r="Q184" s="20">
        <f t="shared" si="23"/>
        <v>-2.923261637204987E-2</v>
      </c>
    </row>
    <row r="185" spans="1:17" x14ac:dyDescent="0.2">
      <c r="A185" s="1">
        <v>44830</v>
      </c>
      <c r="B185">
        <v>99.26</v>
      </c>
      <c r="C185">
        <v>53.66</v>
      </c>
      <c r="D185">
        <v>12.21</v>
      </c>
      <c r="E185" s="2">
        <v>3655.04</v>
      </c>
      <c r="F185" s="3">
        <f t="shared" si="16"/>
        <v>-2.1490536277602446E-2</v>
      </c>
      <c r="G185" s="3">
        <f t="shared" si="17"/>
        <v>-1.2513801987486306E-2</v>
      </c>
      <c r="H185" s="3">
        <f t="shared" si="18"/>
        <v>-2.3199999999999887E-2</v>
      </c>
      <c r="I185" s="3">
        <f t="shared" si="19"/>
        <v>-1.0340542018774879E-2</v>
      </c>
      <c r="J185" s="12">
        <v>0.08</v>
      </c>
      <c r="K185" s="12">
        <v>0.25</v>
      </c>
      <c r="L185" s="13">
        <v>-0.65</v>
      </c>
      <c r="M185" s="20">
        <v>1.2E-2</v>
      </c>
      <c r="N185" s="20">
        <f t="shared" si="20"/>
        <v>-3.3490536277602442E-2</v>
      </c>
      <c r="O185" s="20">
        <f t="shared" si="21"/>
        <v>-3.5199999999999884E-2</v>
      </c>
      <c r="P185" s="20">
        <f t="shared" si="22"/>
        <v>-2.4513801987486306E-2</v>
      </c>
      <c r="Q185" s="20">
        <f t="shared" si="23"/>
        <v>-2.2340542018774879E-2</v>
      </c>
    </row>
    <row r="186" spans="1:17" x14ac:dyDescent="0.2">
      <c r="A186" s="1">
        <v>44831</v>
      </c>
      <c r="B186">
        <v>98.38</v>
      </c>
      <c r="C186">
        <v>52.28</v>
      </c>
      <c r="D186">
        <v>12.4</v>
      </c>
      <c r="E186" s="2">
        <v>3647.29</v>
      </c>
      <c r="F186" s="3">
        <f t="shared" si="16"/>
        <v>-8.8656054805562601E-3</v>
      </c>
      <c r="G186" s="3">
        <f t="shared" si="17"/>
        <v>-2.571748043235178E-2</v>
      </c>
      <c r="H186" s="3">
        <f t="shared" si="18"/>
        <v>1.5561015561015523E-2</v>
      </c>
      <c r="I186" s="3">
        <f t="shared" si="19"/>
        <v>-2.1203598319033956E-3</v>
      </c>
      <c r="J186" s="12">
        <v>0.31</v>
      </c>
      <c r="K186" s="13">
        <v>-0.54</v>
      </c>
      <c r="L186" s="13">
        <v>-0.46</v>
      </c>
      <c r="M186" s="20">
        <v>1.2E-2</v>
      </c>
      <c r="N186" s="20">
        <f t="shared" si="20"/>
        <v>-2.086560548055626E-2</v>
      </c>
      <c r="O186" s="20">
        <f t="shared" si="21"/>
        <v>3.5610155610155229E-3</v>
      </c>
      <c r="P186" s="20">
        <f t="shared" si="22"/>
        <v>-3.7717480432351777E-2</v>
      </c>
      <c r="Q186" s="20">
        <f t="shared" si="23"/>
        <v>-1.4120359831903396E-2</v>
      </c>
    </row>
    <row r="187" spans="1:17" x14ac:dyDescent="0.2">
      <c r="A187" s="1">
        <v>44832</v>
      </c>
      <c r="B187">
        <v>100.37</v>
      </c>
      <c r="C187">
        <v>52.83</v>
      </c>
      <c r="D187">
        <v>12.72</v>
      </c>
      <c r="E187" s="2">
        <v>3719.04</v>
      </c>
      <c r="F187" s="3">
        <f t="shared" si="16"/>
        <v>2.0227688554584455E-2</v>
      </c>
      <c r="G187" s="3">
        <f t="shared" si="17"/>
        <v>1.052027543993872E-2</v>
      </c>
      <c r="H187" s="3">
        <f t="shared" si="18"/>
        <v>2.5806451612903292E-2</v>
      </c>
      <c r="I187" s="3">
        <f t="shared" si="19"/>
        <v>1.9672140136923533E-2</v>
      </c>
      <c r="J187" s="12">
        <v>0.49</v>
      </c>
      <c r="K187" s="13">
        <v>-0.06</v>
      </c>
      <c r="L187" s="14">
        <v>-0.4</v>
      </c>
      <c r="M187" s="20">
        <v>1.2E-2</v>
      </c>
      <c r="N187" s="20">
        <f t="shared" si="20"/>
        <v>8.2276885545844551E-3</v>
      </c>
      <c r="O187" s="20">
        <f t="shared" si="21"/>
        <v>1.3806451612903291E-2</v>
      </c>
      <c r="P187" s="20">
        <f t="shared" si="22"/>
        <v>-1.4797245600612803E-3</v>
      </c>
      <c r="Q187" s="20">
        <f t="shared" si="23"/>
        <v>7.6721401369235324E-3</v>
      </c>
    </row>
    <row r="188" spans="1:17" x14ac:dyDescent="0.2">
      <c r="A188" s="1">
        <v>44833</v>
      </c>
      <c r="B188">
        <v>98.67</v>
      </c>
      <c r="C188">
        <v>52.45</v>
      </c>
      <c r="D188">
        <v>12.21</v>
      </c>
      <c r="E188" s="2">
        <v>3640.47</v>
      </c>
      <c r="F188" s="3">
        <f t="shared" si="16"/>
        <v>-1.6937331872073358E-2</v>
      </c>
      <c r="G188" s="3">
        <f t="shared" si="17"/>
        <v>-7.1928828317243676E-3</v>
      </c>
      <c r="H188" s="3">
        <f t="shared" si="18"/>
        <v>-4.0094339622641528E-2</v>
      </c>
      <c r="I188" s="3">
        <f t="shared" si="19"/>
        <v>-2.1126419721218426E-2</v>
      </c>
      <c r="J188" s="11">
        <v>0.1</v>
      </c>
      <c r="K188" s="13">
        <v>-0.27</v>
      </c>
      <c r="L188" s="13">
        <v>-0.17</v>
      </c>
      <c r="M188" s="20">
        <v>1.2E-2</v>
      </c>
      <c r="N188" s="20">
        <f t="shared" si="20"/>
        <v>-2.8937331872073358E-2</v>
      </c>
      <c r="O188" s="20">
        <f t="shared" si="21"/>
        <v>-5.2094339622641525E-2</v>
      </c>
      <c r="P188" s="20">
        <f t="shared" si="22"/>
        <v>-1.9192882831724368E-2</v>
      </c>
      <c r="Q188" s="20">
        <f t="shared" si="23"/>
        <v>-3.3126419721218422E-2</v>
      </c>
    </row>
    <row r="189" spans="1:17" x14ac:dyDescent="0.2">
      <c r="A189" s="1">
        <v>44834</v>
      </c>
      <c r="B189">
        <v>97.13</v>
      </c>
      <c r="C189">
        <v>51.94</v>
      </c>
      <c r="D189">
        <v>12.13</v>
      </c>
      <c r="E189" s="2">
        <v>3585.62</v>
      </c>
      <c r="F189" s="3">
        <f t="shared" si="16"/>
        <v>-1.5607580824972156E-2</v>
      </c>
      <c r="G189" s="3">
        <f t="shared" si="17"/>
        <v>-9.7235462345091062E-3</v>
      </c>
      <c r="H189" s="3">
        <f t="shared" si="18"/>
        <v>-6.5520065520066062E-3</v>
      </c>
      <c r="I189" s="3">
        <f t="shared" si="19"/>
        <v>-1.506673588849794E-2</v>
      </c>
      <c r="J189" s="13">
        <v>-0.02</v>
      </c>
      <c r="K189" s="12">
        <v>0.03</v>
      </c>
      <c r="L189" s="18">
        <v>1.5</v>
      </c>
      <c r="M189" s="20">
        <v>1.2E-2</v>
      </c>
      <c r="N189" s="20">
        <f t="shared" si="20"/>
        <v>-2.7607580824972156E-2</v>
      </c>
      <c r="O189" s="20">
        <f t="shared" si="21"/>
        <v>-1.8552006552006606E-2</v>
      </c>
      <c r="P189" s="20">
        <f t="shared" si="22"/>
        <v>-2.1723546234509106E-2</v>
      </c>
      <c r="Q189" s="20">
        <f t="shared" si="23"/>
        <v>-2.706673588849794E-2</v>
      </c>
    </row>
    <row r="190" spans="1:17" x14ac:dyDescent="0.2">
      <c r="A190" s="1">
        <v>44837</v>
      </c>
      <c r="B190">
        <v>100.13</v>
      </c>
      <c r="C190">
        <v>52.53</v>
      </c>
      <c r="D190">
        <v>12.5</v>
      </c>
      <c r="E190" s="2">
        <v>3678.43</v>
      </c>
      <c r="F190" s="3">
        <f t="shared" si="16"/>
        <v>3.0886440852465835E-2</v>
      </c>
      <c r="G190" s="3">
        <f t="shared" si="17"/>
        <v>1.1359260685406269E-2</v>
      </c>
      <c r="H190" s="3">
        <f t="shared" si="18"/>
        <v>3.0502885408079106E-2</v>
      </c>
      <c r="I190" s="3">
        <f t="shared" si="19"/>
        <v>2.5883947546031072E-2</v>
      </c>
      <c r="J190" s="12">
        <v>0.24</v>
      </c>
      <c r="K190" s="11">
        <v>0.1</v>
      </c>
      <c r="L190" s="12">
        <v>0.81</v>
      </c>
      <c r="M190" s="20">
        <v>1.2E-2</v>
      </c>
      <c r="N190" s="20">
        <f t="shared" si="20"/>
        <v>1.8886440852465835E-2</v>
      </c>
      <c r="O190" s="20">
        <f t="shared" si="21"/>
        <v>1.8502885408079105E-2</v>
      </c>
      <c r="P190" s="20">
        <f t="shared" si="22"/>
        <v>-6.4073931459373082E-4</v>
      </c>
      <c r="Q190" s="20">
        <f t="shared" si="23"/>
        <v>1.3883947546031072E-2</v>
      </c>
    </row>
    <row r="191" spans="1:17" x14ac:dyDescent="0.2">
      <c r="A191" s="1">
        <v>44838</v>
      </c>
      <c r="B191">
        <v>104.81</v>
      </c>
      <c r="C191">
        <v>52.65</v>
      </c>
      <c r="D191">
        <v>13.15</v>
      </c>
      <c r="E191" s="2">
        <v>3790.93</v>
      </c>
      <c r="F191" s="3">
        <f t="shared" si="16"/>
        <v>4.673923898931398E-2</v>
      </c>
      <c r="G191" s="3">
        <f t="shared" si="17"/>
        <v>2.2844089091946795E-3</v>
      </c>
      <c r="H191" s="3">
        <f t="shared" si="18"/>
        <v>5.2000000000000046E-2</v>
      </c>
      <c r="I191" s="3">
        <f t="shared" si="19"/>
        <v>3.0583700111188827E-2</v>
      </c>
      <c r="J191" s="12">
        <v>0.32</v>
      </c>
      <c r="K191" s="13">
        <v>-0.73</v>
      </c>
      <c r="L191" s="13">
        <v>-0.12</v>
      </c>
      <c r="M191" s="20">
        <v>1.2E-2</v>
      </c>
      <c r="N191" s="20">
        <f t="shared" si="20"/>
        <v>3.4739238989313984E-2</v>
      </c>
      <c r="O191" s="20">
        <f t="shared" si="21"/>
        <v>4.0000000000000049E-2</v>
      </c>
      <c r="P191" s="20">
        <f t="shared" si="22"/>
        <v>-9.7155910908053207E-3</v>
      </c>
      <c r="Q191" s="20">
        <f t="shared" si="23"/>
        <v>1.8583700111188827E-2</v>
      </c>
    </row>
    <row r="192" spans="1:17" x14ac:dyDescent="0.2">
      <c r="A192" s="1">
        <v>44839</v>
      </c>
      <c r="B192">
        <v>103.52</v>
      </c>
      <c r="C192">
        <v>52.15</v>
      </c>
      <c r="D192">
        <v>13.19</v>
      </c>
      <c r="E192" s="2">
        <v>3783.28</v>
      </c>
      <c r="F192" s="3">
        <f t="shared" si="16"/>
        <v>-1.2307985879210004E-2</v>
      </c>
      <c r="G192" s="3">
        <f t="shared" si="17"/>
        <v>-9.4966761633428209E-3</v>
      </c>
      <c r="H192" s="3">
        <f t="shared" si="18"/>
        <v>3.0418250950570158E-3</v>
      </c>
      <c r="I192" s="3">
        <f t="shared" si="19"/>
        <v>-2.0179744811957834E-3</v>
      </c>
      <c r="J192" s="12">
        <v>0.01</v>
      </c>
      <c r="K192" s="12">
        <v>0.35</v>
      </c>
      <c r="L192" s="13">
        <v>-0.42</v>
      </c>
      <c r="M192" s="20">
        <v>1.2E-2</v>
      </c>
      <c r="N192" s="20">
        <f t="shared" si="20"/>
        <v>-2.4307985879210004E-2</v>
      </c>
      <c r="O192" s="20">
        <f t="shared" si="21"/>
        <v>-8.9581749049429844E-3</v>
      </c>
      <c r="P192" s="20">
        <f t="shared" si="22"/>
        <v>-2.1496676163342821E-2</v>
      </c>
      <c r="Q192" s="20">
        <f t="shared" si="23"/>
        <v>-1.4017974481195784E-2</v>
      </c>
    </row>
    <row r="193" spans="1:17" x14ac:dyDescent="0.2">
      <c r="A193" s="1">
        <v>44840</v>
      </c>
      <c r="B193">
        <v>101.41</v>
      </c>
      <c r="C193">
        <v>51.02</v>
      </c>
      <c r="D193">
        <v>13.12</v>
      </c>
      <c r="E193" s="2">
        <v>3744.52</v>
      </c>
      <c r="F193" s="3">
        <f t="shared" si="16"/>
        <v>-2.0382534775888694E-2</v>
      </c>
      <c r="G193" s="3">
        <f t="shared" si="17"/>
        <v>-2.1668264621284683E-2</v>
      </c>
      <c r="H193" s="3">
        <f t="shared" si="18"/>
        <v>-5.3070507960576441E-3</v>
      </c>
      <c r="I193" s="3">
        <f t="shared" si="19"/>
        <v>-1.0245078344716774E-2</v>
      </c>
      <c r="J193" s="13">
        <v>-0.17</v>
      </c>
      <c r="K193" s="12">
        <v>0.17</v>
      </c>
      <c r="L193" s="13">
        <v>-0.86</v>
      </c>
      <c r="M193" s="20">
        <v>1.2E-2</v>
      </c>
      <c r="N193" s="20">
        <f t="shared" si="20"/>
        <v>-3.2382534775888691E-2</v>
      </c>
      <c r="O193" s="20">
        <f t="shared" si="21"/>
        <v>-1.7307050796057644E-2</v>
      </c>
      <c r="P193" s="20">
        <f t="shared" si="22"/>
        <v>-3.366826462128468E-2</v>
      </c>
      <c r="Q193" s="20">
        <f t="shared" si="23"/>
        <v>-2.2245078344716774E-2</v>
      </c>
    </row>
    <row r="194" spans="1:17" x14ac:dyDescent="0.2">
      <c r="A194" s="1">
        <v>44841</v>
      </c>
      <c r="B194">
        <v>99.38</v>
      </c>
      <c r="C194">
        <v>50.54</v>
      </c>
      <c r="D194">
        <v>12.06</v>
      </c>
      <c r="E194" s="2">
        <v>3639.66</v>
      </c>
      <c r="F194" s="3">
        <f t="shared" si="16"/>
        <v>-2.0017749728823642E-2</v>
      </c>
      <c r="G194" s="3">
        <f t="shared" si="17"/>
        <v>-9.4080752646021892E-3</v>
      </c>
      <c r="H194" s="3">
        <f t="shared" si="18"/>
        <v>-8.0792682926829174E-2</v>
      </c>
      <c r="I194" s="3">
        <f t="shared" si="19"/>
        <v>-2.8003589245083504E-2</v>
      </c>
      <c r="J194" s="12">
        <v>0.72</v>
      </c>
      <c r="K194" s="13">
        <v>-0.34</v>
      </c>
      <c r="L194" s="13">
        <v>-0.12</v>
      </c>
      <c r="M194" s="20">
        <v>1.2E-2</v>
      </c>
      <c r="N194" s="20">
        <f t="shared" si="20"/>
        <v>-3.2017749728823638E-2</v>
      </c>
      <c r="O194" s="20">
        <f t="shared" si="21"/>
        <v>-9.279268292682917E-2</v>
      </c>
      <c r="P194" s="20">
        <f t="shared" si="22"/>
        <v>-2.1408075264602189E-2</v>
      </c>
      <c r="Q194" s="20">
        <f t="shared" si="23"/>
        <v>-4.0003589245083501E-2</v>
      </c>
    </row>
    <row r="195" spans="1:17" x14ac:dyDescent="0.2">
      <c r="A195" s="1">
        <v>44844</v>
      </c>
      <c r="B195">
        <v>98.46</v>
      </c>
      <c r="C195">
        <v>50.43</v>
      </c>
      <c r="D195">
        <v>11.66</v>
      </c>
      <c r="E195" s="2">
        <v>3612.39</v>
      </c>
      <c r="F195" s="3">
        <f t="shared" si="16"/>
        <v>-9.257395854296635E-3</v>
      </c>
      <c r="G195" s="3">
        <f t="shared" si="17"/>
        <v>-2.1764938662445221E-3</v>
      </c>
      <c r="H195" s="3">
        <f t="shared" si="18"/>
        <v>-3.3167495854063089E-2</v>
      </c>
      <c r="I195" s="3">
        <f t="shared" si="19"/>
        <v>-7.4924580867443691E-3</v>
      </c>
      <c r="J195" s="12">
        <v>0.14000000000000001</v>
      </c>
      <c r="K195" s="12">
        <v>0.31</v>
      </c>
      <c r="L195" s="12">
        <v>0.15</v>
      </c>
      <c r="M195" s="20">
        <v>1.2E-2</v>
      </c>
      <c r="N195" s="20">
        <f t="shared" si="20"/>
        <v>-2.1257395854296635E-2</v>
      </c>
      <c r="O195" s="20">
        <f t="shared" si="21"/>
        <v>-4.5167495854063086E-2</v>
      </c>
      <c r="P195" s="20">
        <f t="shared" si="22"/>
        <v>-1.4176493866244522E-2</v>
      </c>
      <c r="Q195" s="20">
        <f t="shared" si="23"/>
        <v>-1.9492458086744369E-2</v>
      </c>
    </row>
    <row r="196" spans="1:17" x14ac:dyDescent="0.2">
      <c r="A196" s="1">
        <v>44845</v>
      </c>
      <c r="B196">
        <v>95.61</v>
      </c>
      <c r="C196">
        <v>50.51</v>
      </c>
      <c r="D196">
        <v>11.57</v>
      </c>
      <c r="E196" s="2">
        <v>3588.84</v>
      </c>
      <c r="F196" s="3">
        <f t="shared" ref="F196:F259" si="24">(B196/B195)-1</f>
        <v>-2.8945764777574601E-2</v>
      </c>
      <c r="G196" s="3">
        <f t="shared" ref="G196:G259" si="25">(C196/C195)-1</f>
        <v>1.5863573269878639E-3</v>
      </c>
      <c r="H196" s="3">
        <f t="shared" ref="H196:H259" si="26">(D196/D195)-1</f>
        <v>-7.718696397941649E-3</v>
      </c>
      <c r="I196" s="3">
        <f t="shared" ref="I196:I259" si="27">(E196/E195)-1</f>
        <v>-6.5192296512833758E-3</v>
      </c>
      <c r="J196" s="12">
        <v>0.21</v>
      </c>
      <c r="K196" s="12">
        <v>0.26</v>
      </c>
      <c r="L196" s="13">
        <v>-0.37</v>
      </c>
      <c r="M196" s="20">
        <v>1.2E-2</v>
      </c>
      <c r="N196" s="20">
        <f t="shared" ref="N196:N259" si="28">F196-M196</f>
        <v>-4.0945764777574598E-2</v>
      </c>
      <c r="O196" s="20">
        <f t="shared" ref="O196:O259" si="29">H196-M196</f>
        <v>-1.9718696397941649E-2</v>
      </c>
      <c r="P196" s="20">
        <f t="shared" ref="P196:P259" si="30">G196-M196</f>
        <v>-1.0413642673012136E-2</v>
      </c>
      <c r="Q196" s="20">
        <f t="shared" ref="Q196:Q259" si="31">I196-M196</f>
        <v>-1.8519229651283376E-2</v>
      </c>
    </row>
    <row r="197" spans="1:17" x14ac:dyDescent="0.2">
      <c r="A197" s="1">
        <v>44846</v>
      </c>
      <c r="B197">
        <v>97.16</v>
      </c>
      <c r="C197">
        <v>51.13</v>
      </c>
      <c r="D197">
        <v>11.49</v>
      </c>
      <c r="E197" s="2">
        <v>3577.03</v>
      </c>
      <c r="F197" s="3">
        <f t="shared" si="24"/>
        <v>1.621169333751693E-2</v>
      </c>
      <c r="G197" s="3">
        <f t="shared" si="25"/>
        <v>1.2274797069887322E-2</v>
      </c>
      <c r="H197" s="3">
        <f t="shared" si="26"/>
        <v>-6.9144338807259897E-3</v>
      </c>
      <c r="I197" s="3">
        <f t="shared" si="27"/>
        <v>-3.2907569019515748E-3</v>
      </c>
      <c r="J197" s="12">
        <v>7.0000000000000007E-2</v>
      </c>
      <c r="K197" s="13">
        <v>-0.18</v>
      </c>
      <c r="L197" s="13">
        <v>-0.06</v>
      </c>
      <c r="M197" s="20">
        <v>1.2E-2</v>
      </c>
      <c r="N197" s="20">
        <f t="shared" si="28"/>
        <v>4.2116933375169301E-3</v>
      </c>
      <c r="O197" s="20">
        <f t="shared" si="29"/>
        <v>-1.891443388072599E-2</v>
      </c>
      <c r="P197" s="20">
        <f t="shared" si="30"/>
        <v>2.7479706988732186E-4</v>
      </c>
      <c r="Q197" s="20">
        <f t="shared" si="31"/>
        <v>-1.5290756901951575E-2</v>
      </c>
    </row>
    <row r="198" spans="1:17" x14ac:dyDescent="0.2">
      <c r="A198" s="1">
        <v>44847</v>
      </c>
      <c r="B198">
        <v>102.56</v>
      </c>
      <c r="C198">
        <v>51.8</v>
      </c>
      <c r="D198">
        <v>11.95</v>
      </c>
      <c r="E198" s="2">
        <v>3669.91</v>
      </c>
      <c r="F198" s="3">
        <f t="shared" si="24"/>
        <v>5.5578427336352432E-2</v>
      </c>
      <c r="G198" s="3">
        <f t="shared" si="25"/>
        <v>1.3103852923919357E-2</v>
      </c>
      <c r="H198" s="3">
        <f t="shared" si="26"/>
        <v>4.0034812880765713E-2</v>
      </c>
      <c r="I198" s="3">
        <f t="shared" si="27"/>
        <v>2.5965675434648228E-2</v>
      </c>
      <c r="J198" s="12">
        <v>0.55000000000000004</v>
      </c>
      <c r="K198" s="13">
        <v>-0.37</v>
      </c>
      <c r="L198" s="12">
        <v>0.23</v>
      </c>
      <c r="M198" s="20">
        <v>1.2E-2</v>
      </c>
      <c r="N198" s="20">
        <f t="shared" si="28"/>
        <v>4.3578427336352435E-2</v>
      </c>
      <c r="O198" s="20">
        <f t="shared" si="29"/>
        <v>2.8034812880765713E-2</v>
      </c>
      <c r="P198" s="20">
        <f t="shared" si="30"/>
        <v>1.1038529239193566E-3</v>
      </c>
      <c r="Q198" s="20">
        <f t="shared" si="31"/>
        <v>1.3965675434648227E-2</v>
      </c>
    </row>
    <row r="199" spans="1:17" x14ac:dyDescent="0.2">
      <c r="A199" s="1">
        <v>44848</v>
      </c>
      <c r="B199">
        <v>104.27</v>
      </c>
      <c r="C199">
        <v>50.98</v>
      </c>
      <c r="D199">
        <v>11.21</v>
      </c>
      <c r="E199" s="2">
        <v>3583.07</v>
      </c>
      <c r="F199" s="3">
        <f t="shared" si="24"/>
        <v>1.6673166926677085E-2</v>
      </c>
      <c r="G199" s="3">
        <f t="shared" si="25"/>
        <v>-1.5830115830115843E-2</v>
      </c>
      <c r="H199" s="3">
        <f t="shared" si="26"/>
        <v>-6.1924686192468492E-2</v>
      </c>
      <c r="I199" s="3">
        <f t="shared" si="27"/>
        <v>-2.3662705624933444E-2</v>
      </c>
      <c r="J199" s="14">
        <v>-0.4</v>
      </c>
      <c r="K199" s="13">
        <v>-0.05</v>
      </c>
      <c r="L199" s="13">
        <v>-0.51</v>
      </c>
      <c r="M199" s="20">
        <v>1.0999999999999999E-2</v>
      </c>
      <c r="N199" s="20">
        <f t="shared" si="28"/>
        <v>5.6731669266770861E-3</v>
      </c>
      <c r="O199" s="20">
        <f t="shared" si="29"/>
        <v>-7.2924686192468488E-2</v>
      </c>
      <c r="P199" s="20">
        <f t="shared" si="30"/>
        <v>-2.6830115830115842E-2</v>
      </c>
      <c r="Q199" s="20">
        <f t="shared" si="31"/>
        <v>-3.466270562493344E-2</v>
      </c>
    </row>
    <row r="200" spans="1:17" x14ac:dyDescent="0.2">
      <c r="A200" s="1">
        <v>44851</v>
      </c>
      <c r="B200">
        <v>108.65</v>
      </c>
      <c r="C200">
        <v>51.64</v>
      </c>
      <c r="D200">
        <v>11.88</v>
      </c>
      <c r="E200" s="2">
        <v>3677.95</v>
      </c>
      <c r="F200" s="3">
        <f t="shared" si="24"/>
        <v>4.2006329720917002E-2</v>
      </c>
      <c r="G200" s="3">
        <f t="shared" si="25"/>
        <v>1.2946253432718713E-2</v>
      </c>
      <c r="H200" s="3">
        <f t="shared" si="26"/>
        <v>5.9768064228367557E-2</v>
      </c>
      <c r="I200" s="3">
        <f t="shared" si="27"/>
        <v>2.6480085513260976E-2</v>
      </c>
      <c r="J200" s="17">
        <v>-1.1399999999999999</v>
      </c>
      <c r="K200" s="13">
        <v>-0.16</v>
      </c>
      <c r="L200" s="13">
        <v>-0.28999999999999998</v>
      </c>
      <c r="M200" s="20">
        <v>1.0999999999999999E-2</v>
      </c>
      <c r="N200" s="20">
        <f t="shared" si="28"/>
        <v>3.1006329720917002E-2</v>
      </c>
      <c r="O200" s="20">
        <f t="shared" si="29"/>
        <v>4.8768064228367561E-2</v>
      </c>
      <c r="P200" s="20">
        <f t="shared" si="30"/>
        <v>1.9462534327187135E-3</v>
      </c>
      <c r="Q200" s="20">
        <f t="shared" si="31"/>
        <v>1.5480085513260976E-2</v>
      </c>
    </row>
    <row r="201" spans="1:17" x14ac:dyDescent="0.2">
      <c r="A201" s="1">
        <v>44852</v>
      </c>
      <c r="B201">
        <v>111.44</v>
      </c>
      <c r="C201">
        <v>52.33</v>
      </c>
      <c r="D201">
        <v>11.95</v>
      </c>
      <c r="E201" s="2">
        <v>3719.98</v>
      </c>
      <c r="F201" s="3">
        <f t="shared" si="24"/>
        <v>2.5678785089737532E-2</v>
      </c>
      <c r="G201" s="3">
        <f t="shared" si="25"/>
        <v>1.336173508907823E-2</v>
      </c>
      <c r="H201" s="3">
        <f t="shared" si="26"/>
        <v>5.8922558922558377E-3</v>
      </c>
      <c r="I201" s="3">
        <f t="shared" si="27"/>
        <v>1.1427561549232745E-2</v>
      </c>
      <c r="J201" s="15">
        <v>1.02</v>
      </c>
      <c r="K201" s="13">
        <v>-0.03</v>
      </c>
      <c r="L201" s="12">
        <v>0.02</v>
      </c>
      <c r="M201" s="20">
        <v>1.0999999999999999E-2</v>
      </c>
      <c r="N201" s="20">
        <f t="shared" si="28"/>
        <v>1.4678785089737533E-2</v>
      </c>
      <c r="O201" s="20">
        <f t="shared" si="29"/>
        <v>-5.1077441077441617E-3</v>
      </c>
      <c r="P201" s="20">
        <f t="shared" si="30"/>
        <v>2.3617350890782311E-3</v>
      </c>
      <c r="Q201" s="20">
        <f t="shared" si="31"/>
        <v>4.27561549232746E-4</v>
      </c>
    </row>
    <row r="202" spans="1:17" x14ac:dyDescent="0.2">
      <c r="A202" s="1">
        <v>44853</v>
      </c>
      <c r="B202">
        <v>109.26</v>
      </c>
      <c r="C202">
        <v>51.89</v>
      </c>
      <c r="D202">
        <v>12.04</v>
      </c>
      <c r="E202" s="2">
        <v>3695.16</v>
      </c>
      <c r="F202" s="3">
        <f t="shared" si="24"/>
        <v>-1.9562096195261947E-2</v>
      </c>
      <c r="G202" s="3">
        <f t="shared" si="25"/>
        <v>-8.4081788648958655E-3</v>
      </c>
      <c r="H202" s="3">
        <f t="shared" si="26"/>
        <v>7.5313807531380839E-3</v>
      </c>
      <c r="I202" s="3">
        <f t="shared" si="27"/>
        <v>-6.6720788821446053E-3</v>
      </c>
      <c r="J202" s="13">
        <v>-0.45</v>
      </c>
      <c r="K202" s="12">
        <v>0.21</v>
      </c>
      <c r="L202" s="13">
        <v>-0.15</v>
      </c>
      <c r="M202" s="20">
        <v>1.0999999999999999E-2</v>
      </c>
      <c r="N202" s="20">
        <f t="shared" si="28"/>
        <v>-3.0562096195261946E-2</v>
      </c>
      <c r="O202" s="20">
        <f t="shared" si="29"/>
        <v>-3.4686192468619155E-3</v>
      </c>
      <c r="P202" s="20">
        <f t="shared" si="30"/>
        <v>-1.9408178864895865E-2</v>
      </c>
      <c r="Q202" s="20">
        <f t="shared" si="31"/>
        <v>-1.7672078882144605E-2</v>
      </c>
    </row>
    <row r="203" spans="1:17" x14ac:dyDescent="0.2">
      <c r="A203" s="1">
        <v>44854</v>
      </c>
      <c r="B203">
        <v>108.9</v>
      </c>
      <c r="C203">
        <v>51.07</v>
      </c>
      <c r="D203">
        <v>12.18</v>
      </c>
      <c r="E203" s="2">
        <v>3665.78</v>
      </c>
      <c r="F203" s="3">
        <f t="shared" si="24"/>
        <v>-3.2948929159801743E-3</v>
      </c>
      <c r="G203" s="3">
        <f t="shared" si="25"/>
        <v>-1.5802659471959912E-2</v>
      </c>
      <c r="H203" s="3">
        <f t="shared" si="26"/>
        <v>1.1627906976744207E-2</v>
      </c>
      <c r="I203" s="3">
        <f t="shared" si="27"/>
        <v>-7.9509412312320782E-3</v>
      </c>
      <c r="J203" s="13">
        <v>-0.24</v>
      </c>
      <c r="K203" s="12">
        <v>0.57999999999999996</v>
      </c>
      <c r="L203" s="13">
        <v>-0.43</v>
      </c>
      <c r="M203" s="20">
        <v>1.0999999999999999E-2</v>
      </c>
      <c r="N203" s="20">
        <f t="shared" si="28"/>
        <v>-1.4294892915980174E-2</v>
      </c>
      <c r="O203" s="20">
        <f t="shared" si="29"/>
        <v>6.2790697674420734E-4</v>
      </c>
      <c r="P203" s="20">
        <f t="shared" si="30"/>
        <v>-2.6802659471959912E-2</v>
      </c>
      <c r="Q203" s="20">
        <f t="shared" si="31"/>
        <v>-1.8950941231232078E-2</v>
      </c>
    </row>
    <row r="204" spans="1:17" x14ac:dyDescent="0.2">
      <c r="A204" s="1">
        <v>44855</v>
      </c>
      <c r="B204">
        <v>114.62</v>
      </c>
      <c r="C204">
        <v>51.89</v>
      </c>
      <c r="D204">
        <v>12.45</v>
      </c>
      <c r="E204" s="2">
        <v>3752.75</v>
      </c>
      <c r="F204" s="3">
        <f t="shared" si="24"/>
        <v>5.2525252525252419E-2</v>
      </c>
      <c r="G204" s="3">
        <f t="shared" si="25"/>
        <v>1.6056393185823303E-2</v>
      </c>
      <c r="H204" s="3">
        <f t="shared" si="26"/>
        <v>2.2167487684729092E-2</v>
      </c>
      <c r="I204" s="3">
        <f t="shared" si="27"/>
        <v>2.3724828003862664E-2</v>
      </c>
      <c r="J204" s="13">
        <v>-0.37</v>
      </c>
      <c r="K204" s="13">
        <v>-0.09</v>
      </c>
      <c r="L204" s="13">
        <v>-0.59</v>
      </c>
      <c r="M204" s="20">
        <v>1.0999999999999999E-2</v>
      </c>
      <c r="N204" s="20">
        <f t="shared" si="28"/>
        <v>4.1525252525252423E-2</v>
      </c>
      <c r="O204" s="20">
        <f t="shared" si="29"/>
        <v>1.1167487684729093E-2</v>
      </c>
      <c r="P204" s="20">
        <f t="shared" si="30"/>
        <v>5.056393185823304E-3</v>
      </c>
      <c r="Q204" s="20">
        <f t="shared" si="31"/>
        <v>1.2724828003862664E-2</v>
      </c>
    </row>
    <row r="205" spans="1:17" x14ac:dyDescent="0.2">
      <c r="A205" s="1">
        <v>44858</v>
      </c>
      <c r="B205">
        <v>114.76</v>
      </c>
      <c r="C205">
        <v>53.38</v>
      </c>
      <c r="D205">
        <v>12.59</v>
      </c>
      <c r="E205" s="2">
        <v>3797.34</v>
      </c>
      <c r="F205" s="3">
        <f t="shared" si="24"/>
        <v>1.2214273250741314E-3</v>
      </c>
      <c r="G205" s="3">
        <f t="shared" si="25"/>
        <v>2.8714588552707587E-2</v>
      </c>
      <c r="H205" s="3">
        <f t="shared" si="26"/>
        <v>1.1244979919678766E-2</v>
      </c>
      <c r="I205" s="3">
        <f t="shared" si="27"/>
        <v>1.1881953234294862E-2</v>
      </c>
      <c r="J205" s="12">
        <v>0.12</v>
      </c>
      <c r="K205" s="13">
        <v>-0.56999999999999995</v>
      </c>
      <c r="L205" s="13">
        <v>-0.28000000000000003</v>
      </c>
      <c r="M205" s="20">
        <v>1.0999999999999999E-2</v>
      </c>
      <c r="N205" s="20">
        <f t="shared" si="28"/>
        <v>-9.7785726749258679E-3</v>
      </c>
      <c r="O205" s="20">
        <f t="shared" si="29"/>
        <v>2.4497991967876651E-4</v>
      </c>
      <c r="P205" s="20">
        <f t="shared" si="30"/>
        <v>1.7714588552707588E-2</v>
      </c>
      <c r="Q205" s="20">
        <f t="shared" si="31"/>
        <v>8.8195323429486258E-4</v>
      </c>
    </row>
    <row r="206" spans="1:17" x14ac:dyDescent="0.2">
      <c r="A206" s="1">
        <v>44859</v>
      </c>
      <c r="B206">
        <v>115.06</v>
      </c>
      <c r="C206">
        <v>54.66</v>
      </c>
      <c r="D206">
        <v>13.25</v>
      </c>
      <c r="E206" s="2">
        <v>3859.11</v>
      </c>
      <c r="F206" s="3">
        <f t="shared" si="24"/>
        <v>2.6141512722201998E-3</v>
      </c>
      <c r="G206" s="3">
        <f t="shared" si="25"/>
        <v>2.39790183589359E-2</v>
      </c>
      <c r="H206" s="3">
        <f t="shared" si="26"/>
        <v>5.2422557585385166E-2</v>
      </c>
      <c r="I206" s="3">
        <f t="shared" si="27"/>
        <v>1.6266649812763712E-2</v>
      </c>
      <c r="J206" s="12">
        <v>0.49</v>
      </c>
      <c r="K206" s="12">
        <v>0.21</v>
      </c>
      <c r="L206" s="12">
        <v>0.28000000000000003</v>
      </c>
      <c r="M206" s="20">
        <v>1.0999999999999999E-2</v>
      </c>
      <c r="N206" s="20">
        <f t="shared" si="28"/>
        <v>-8.3858487277797995E-3</v>
      </c>
      <c r="O206" s="20">
        <f t="shared" si="29"/>
        <v>4.142255758538517E-2</v>
      </c>
      <c r="P206" s="20">
        <f t="shared" si="30"/>
        <v>1.29790183589359E-2</v>
      </c>
      <c r="Q206" s="20">
        <f t="shared" si="31"/>
        <v>5.2666498127637122E-3</v>
      </c>
    </row>
    <row r="207" spans="1:17" x14ac:dyDescent="0.2">
      <c r="A207" s="1">
        <v>44860</v>
      </c>
      <c r="B207">
        <v>116.39</v>
      </c>
      <c r="C207">
        <v>55.07</v>
      </c>
      <c r="D207">
        <v>12.88</v>
      </c>
      <c r="E207" s="2">
        <v>3830.6</v>
      </c>
      <c r="F207" s="3">
        <f t="shared" si="24"/>
        <v>1.1559186511385322E-2</v>
      </c>
      <c r="G207" s="3">
        <f t="shared" si="25"/>
        <v>7.5009147457008041E-3</v>
      </c>
      <c r="H207" s="3">
        <f t="shared" si="26"/>
        <v>-2.7924528301886742E-2</v>
      </c>
      <c r="I207" s="3">
        <f t="shared" si="27"/>
        <v>-7.3877137474703813E-3</v>
      </c>
      <c r="J207" s="12">
        <v>0.46</v>
      </c>
      <c r="K207" s="12">
        <v>0.12</v>
      </c>
      <c r="L207" s="12">
        <v>0.42</v>
      </c>
      <c r="M207" s="20">
        <v>1.0999999999999999E-2</v>
      </c>
      <c r="N207" s="20">
        <f t="shared" si="28"/>
        <v>5.5918651138532269E-4</v>
      </c>
      <c r="O207" s="20">
        <f t="shared" si="29"/>
        <v>-3.8924528301886738E-2</v>
      </c>
      <c r="P207" s="20">
        <f t="shared" si="30"/>
        <v>-3.4990852542991953E-3</v>
      </c>
      <c r="Q207" s="20">
        <f t="shared" si="31"/>
        <v>-1.8387713747470381E-2</v>
      </c>
    </row>
    <row r="208" spans="1:17" x14ac:dyDescent="0.2">
      <c r="A208" s="1">
        <v>44861</v>
      </c>
      <c r="B208">
        <v>116.84</v>
      </c>
      <c r="C208">
        <v>55.2</v>
      </c>
      <c r="D208">
        <v>13.16</v>
      </c>
      <c r="E208" s="2">
        <v>3807.3</v>
      </c>
      <c r="F208" s="3">
        <f t="shared" si="24"/>
        <v>3.8663115387920222E-3</v>
      </c>
      <c r="G208" s="3">
        <f t="shared" si="25"/>
        <v>2.3606319230071726E-3</v>
      </c>
      <c r="H208" s="3">
        <f t="shared" si="26"/>
        <v>2.1739130434782483E-2</v>
      </c>
      <c r="I208" s="3">
        <f t="shared" si="27"/>
        <v>-6.0825980264187507E-3</v>
      </c>
      <c r="J208" s="12">
        <v>0.17</v>
      </c>
      <c r="K208" s="13">
        <v>-0.26</v>
      </c>
      <c r="L208" s="12">
        <v>0.25</v>
      </c>
      <c r="M208" s="20">
        <v>1.0999999999999999E-2</v>
      </c>
      <c r="N208" s="20">
        <f t="shared" si="28"/>
        <v>-7.1336884612079772E-3</v>
      </c>
      <c r="O208" s="20">
        <f t="shared" si="29"/>
        <v>1.0739130434782484E-2</v>
      </c>
      <c r="P208" s="20">
        <f t="shared" si="30"/>
        <v>-8.6393680769928267E-3</v>
      </c>
      <c r="Q208" s="20">
        <f t="shared" si="31"/>
        <v>-1.708259802641875E-2</v>
      </c>
    </row>
    <row r="209" spans="1:17" x14ac:dyDescent="0.2">
      <c r="A209" s="1">
        <v>44862</v>
      </c>
      <c r="B209">
        <v>118.23</v>
      </c>
      <c r="C209">
        <v>56.34</v>
      </c>
      <c r="D209">
        <v>13.82</v>
      </c>
      <c r="E209" s="2">
        <v>3901.06</v>
      </c>
      <c r="F209" s="3">
        <f t="shared" si="24"/>
        <v>1.1896610749743353E-2</v>
      </c>
      <c r="G209" s="3">
        <f t="shared" si="25"/>
        <v>2.0652173913043415E-2</v>
      </c>
      <c r="H209" s="3">
        <f t="shared" si="26"/>
        <v>5.0151975683890626E-2</v>
      </c>
      <c r="I209" s="3">
        <f t="shared" si="27"/>
        <v>2.4626375646783716E-2</v>
      </c>
      <c r="J209" s="13">
        <v>-0.04</v>
      </c>
      <c r="K209" s="13">
        <v>-0.06</v>
      </c>
      <c r="L209" s="13">
        <v>-0.19</v>
      </c>
      <c r="M209" s="20">
        <v>1.0999999999999999E-2</v>
      </c>
      <c r="N209" s="20">
        <f t="shared" si="28"/>
        <v>8.9661074974335328E-4</v>
      </c>
      <c r="O209" s="20">
        <f t="shared" si="29"/>
        <v>3.915197568389063E-2</v>
      </c>
      <c r="P209" s="20">
        <f t="shared" si="30"/>
        <v>9.6521739130434152E-3</v>
      </c>
      <c r="Q209" s="20">
        <f t="shared" si="31"/>
        <v>1.3626375646783716E-2</v>
      </c>
    </row>
    <row r="210" spans="1:17" x14ac:dyDescent="0.2">
      <c r="A210" s="1">
        <v>44865</v>
      </c>
      <c r="B210">
        <v>118.04</v>
      </c>
      <c r="C210">
        <v>55.49</v>
      </c>
      <c r="D210">
        <v>13.48</v>
      </c>
      <c r="E210" s="2">
        <v>3871.98</v>
      </c>
      <c r="F210" s="3">
        <f t="shared" si="24"/>
        <v>-1.6070371310158427E-3</v>
      </c>
      <c r="G210" s="3">
        <f t="shared" si="25"/>
        <v>-1.5086971955981521E-2</v>
      </c>
      <c r="H210" s="3">
        <f t="shared" si="26"/>
        <v>-2.4602026049204029E-2</v>
      </c>
      <c r="I210" s="3">
        <f t="shared" si="27"/>
        <v>-7.4543841930141408E-3</v>
      </c>
      <c r="J210" s="12">
        <v>0.18</v>
      </c>
      <c r="K210" s="12">
        <v>0.08</v>
      </c>
      <c r="L210" s="13">
        <v>-0.84</v>
      </c>
      <c r="M210" s="20">
        <v>1.0999999999999999E-2</v>
      </c>
      <c r="N210" s="20">
        <f t="shared" si="28"/>
        <v>-1.2607037131015842E-2</v>
      </c>
      <c r="O210" s="20">
        <f t="shared" si="29"/>
        <v>-3.5602026049204025E-2</v>
      </c>
      <c r="P210" s="20">
        <f t="shared" si="30"/>
        <v>-2.608697195598152E-2</v>
      </c>
      <c r="Q210" s="20">
        <f t="shared" si="31"/>
        <v>-1.845438419301414E-2</v>
      </c>
    </row>
    <row r="211" spans="1:17" x14ac:dyDescent="0.2">
      <c r="A211" s="1">
        <v>44866</v>
      </c>
      <c r="B211">
        <v>120.17</v>
      </c>
      <c r="C211">
        <v>55.3</v>
      </c>
      <c r="D211">
        <v>13.53</v>
      </c>
      <c r="E211" s="2">
        <v>3856.1</v>
      </c>
      <c r="F211" s="3">
        <f t="shared" si="24"/>
        <v>1.804473059979661E-2</v>
      </c>
      <c r="G211" s="3">
        <f t="shared" si="25"/>
        <v>-3.4240403676338849E-3</v>
      </c>
      <c r="H211" s="3">
        <f t="shared" si="26"/>
        <v>3.7091988130562026E-3</v>
      </c>
      <c r="I211" s="3">
        <f t="shared" si="27"/>
        <v>-4.10126085362017E-3</v>
      </c>
      <c r="J211" s="13">
        <v>-0.81</v>
      </c>
      <c r="K211" s="13">
        <v>-0.15</v>
      </c>
      <c r="L211" s="13">
        <v>-0.36</v>
      </c>
      <c r="M211" s="20">
        <v>1.0999999999999999E-2</v>
      </c>
      <c r="N211" s="20">
        <f t="shared" si="28"/>
        <v>7.0447305997966107E-3</v>
      </c>
      <c r="O211" s="20">
        <f t="shared" si="29"/>
        <v>-7.2908011869437968E-3</v>
      </c>
      <c r="P211" s="20">
        <f t="shared" si="30"/>
        <v>-1.4424040367633884E-2</v>
      </c>
      <c r="Q211" s="20">
        <f t="shared" si="31"/>
        <v>-1.5101260853620169E-2</v>
      </c>
    </row>
    <row r="212" spans="1:17" x14ac:dyDescent="0.2">
      <c r="A212" s="1">
        <v>44867</v>
      </c>
      <c r="B212">
        <v>119.07</v>
      </c>
      <c r="C212">
        <v>54.53</v>
      </c>
      <c r="D212">
        <v>13.2</v>
      </c>
      <c r="E212" s="2">
        <v>3759.69</v>
      </c>
      <c r="F212" s="3">
        <f t="shared" si="24"/>
        <v>-9.1536989265208479E-3</v>
      </c>
      <c r="G212" s="3">
        <f t="shared" si="25"/>
        <v>-1.3924050632911356E-2</v>
      </c>
      <c r="H212" s="3">
        <f t="shared" si="26"/>
        <v>-2.4390243902439046E-2</v>
      </c>
      <c r="I212" s="3">
        <f t="shared" si="27"/>
        <v>-2.5001944970306722E-2</v>
      </c>
      <c r="J212" s="15">
        <v>1.02</v>
      </c>
      <c r="K212" s="13">
        <v>-0.46</v>
      </c>
      <c r="L212" s="13">
        <v>-0.13</v>
      </c>
      <c r="M212" s="20">
        <v>1.0999999999999999E-2</v>
      </c>
      <c r="N212" s="20">
        <f t="shared" si="28"/>
        <v>-2.0153698926520847E-2</v>
      </c>
      <c r="O212" s="20">
        <f t="shared" si="29"/>
        <v>-3.5390243902439042E-2</v>
      </c>
      <c r="P212" s="20">
        <f t="shared" si="30"/>
        <v>-2.4924050632911355E-2</v>
      </c>
      <c r="Q212" s="20">
        <f t="shared" si="31"/>
        <v>-3.6001944970306718E-2</v>
      </c>
    </row>
    <row r="213" spans="1:17" x14ac:dyDescent="0.2">
      <c r="A213" s="1">
        <v>44868</v>
      </c>
      <c r="B213">
        <v>119.28</v>
      </c>
      <c r="C213">
        <v>54.5</v>
      </c>
      <c r="D213">
        <v>13.41</v>
      </c>
      <c r="E213" s="2">
        <v>3719.89</v>
      </c>
      <c r="F213" s="3">
        <f t="shared" si="24"/>
        <v>1.7636684303352634E-3</v>
      </c>
      <c r="G213" s="3">
        <f t="shared" si="25"/>
        <v>-5.5015587749862593E-4</v>
      </c>
      <c r="H213" s="3">
        <f t="shared" si="26"/>
        <v>1.5909090909090873E-2</v>
      </c>
      <c r="I213" s="3">
        <f t="shared" si="27"/>
        <v>-1.0585979163175718E-2</v>
      </c>
      <c r="J213" s="12">
        <v>0.42</v>
      </c>
      <c r="K213" s="13">
        <v>-0.34</v>
      </c>
      <c r="L213" s="13">
        <v>-0.36</v>
      </c>
      <c r="M213" s="20">
        <v>1.0999999999999999E-2</v>
      </c>
      <c r="N213" s="20">
        <f t="shared" si="28"/>
        <v>-9.2363315696647359E-3</v>
      </c>
      <c r="O213" s="20">
        <f t="shared" si="29"/>
        <v>4.9090909090908734E-3</v>
      </c>
      <c r="P213" s="20">
        <f t="shared" si="30"/>
        <v>-1.1550155877498625E-2</v>
      </c>
      <c r="Q213" s="20">
        <f t="shared" si="31"/>
        <v>-2.1585979163175718E-2</v>
      </c>
    </row>
    <row r="214" spans="1:17" x14ac:dyDescent="0.2">
      <c r="A214" s="1">
        <v>44869</v>
      </c>
      <c r="B214">
        <v>122.55</v>
      </c>
      <c r="C214">
        <v>54.95</v>
      </c>
      <c r="D214">
        <v>14.14</v>
      </c>
      <c r="E214" s="2">
        <v>3770.55</v>
      </c>
      <c r="F214" s="3">
        <f t="shared" si="24"/>
        <v>2.7414486921529146E-2</v>
      </c>
      <c r="G214" s="3">
        <f t="shared" si="25"/>
        <v>8.2568807339449268E-3</v>
      </c>
      <c r="H214" s="3">
        <f t="shared" si="26"/>
        <v>5.4436987322893371E-2</v>
      </c>
      <c r="I214" s="3">
        <f t="shared" si="27"/>
        <v>1.3618682272863003E-2</v>
      </c>
      <c r="J214" s="13">
        <v>-0.79</v>
      </c>
      <c r="K214" s="12">
        <v>0.04</v>
      </c>
      <c r="L214" s="13">
        <v>-0.31</v>
      </c>
      <c r="M214" s="20">
        <v>1.0999999999999999E-2</v>
      </c>
      <c r="N214" s="20">
        <f t="shared" si="28"/>
        <v>1.6414486921529147E-2</v>
      </c>
      <c r="O214" s="20">
        <f t="shared" si="29"/>
        <v>4.3436987322893375E-2</v>
      </c>
      <c r="P214" s="20">
        <f t="shared" si="30"/>
        <v>-2.7431192660550725E-3</v>
      </c>
      <c r="Q214" s="20">
        <f t="shared" si="31"/>
        <v>2.6186822728630037E-3</v>
      </c>
    </row>
    <row r="215" spans="1:17" x14ac:dyDescent="0.2">
      <c r="A215" s="1">
        <v>44872</v>
      </c>
      <c r="B215">
        <v>123.19</v>
      </c>
      <c r="C215">
        <v>55.16</v>
      </c>
      <c r="D215">
        <v>14.29</v>
      </c>
      <c r="E215" s="2">
        <v>3806.8</v>
      </c>
      <c r="F215" s="3">
        <f t="shared" si="24"/>
        <v>5.222358221134149E-3</v>
      </c>
      <c r="G215" s="3">
        <f t="shared" si="25"/>
        <v>3.8216560509551911E-3</v>
      </c>
      <c r="H215" s="3">
        <f t="shared" si="26"/>
        <v>1.0608203677510586E-2</v>
      </c>
      <c r="I215" s="3">
        <f t="shared" si="27"/>
        <v>9.6139820450598101E-3</v>
      </c>
      <c r="J215" s="12">
        <v>0.04</v>
      </c>
      <c r="K215" s="11">
        <v>0</v>
      </c>
      <c r="L215" s="14">
        <v>-0.2</v>
      </c>
      <c r="M215" s="20">
        <v>1.0999999999999999E-2</v>
      </c>
      <c r="N215" s="20">
        <f t="shared" si="28"/>
        <v>-5.7776417788658503E-3</v>
      </c>
      <c r="O215" s="20">
        <f t="shared" si="29"/>
        <v>-3.9179632248941346E-4</v>
      </c>
      <c r="P215" s="20">
        <f t="shared" si="30"/>
        <v>-7.1783439490448082E-3</v>
      </c>
      <c r="Q215" s="20">
        <f t="shared" si="31"/>
        <v>-1.3860179549401892E-3</v>
      </c>
    </row>
    <row r="216" spans="1:17" x14ac:dyDescent="0.2">
      <c r="A216" s="1">
        <v>44873</v>
      </c>
      <c r="B216">
        <v>123.27</v>
      </c>
      <c r="C216">
        <v>55.26</v>
      </c>
      <c r="D216">
        <v>14.59</v>
      </c>
      <c r="E216" s="2">
        <v>3828.11</v>
      </c>
      <c r="F216" s="3">
        <f t="shared" si="24"/>
        <v>6.4940336066232618E-4</v>
      </c>
      <c r="G216" s="3">
        <f t="shared" si="25"/>
        <v>1.8129079042785712E-3</v>
      </c>
      <c r="H216" s="3">
        <f t="shared" si="26"/>
        <v>2.0993701889433281E-2</v>
      </c>
      <c r="I216" s="3">
        <f t="shared" si="27"/>
        <v>5.5978774823999267E-3</v>
      </c>
      <c r="J216" s="12">
        <v>0.17</v>
      </c>
      <c r="K216" s="13">
        <v>-0.55000000000000004</v>
      </c>
      <c r="L216" s="12">
        <v>7.0000000000000007E-2</v>
      </c>
      <c r="M216" s="20">
        <v>1.0999999999999999E-2</v>
      </c>
      <c r="N216" s="20">
        <f t="shared" si="28"/>
        <v>-1.0350596639337673E-2</v>
      </c>
      <c r="O216" s="20">
        <f t="shared" si="29"/>
        <v>9.9937018894332812E-3</v>
      </c>
      <c r="P216" s="20">
        <f t="shared" si="30"/>
        <v>-9.1870920957214282E-3</v>
      </c>
      <c r="Q216" s="20">
        <f t="shared" si="31"/>
        <v>-5.4021225176000727E-3</v>
      </c>
    </row>
    <row r="217" spans="1:17" x14ac:dyDescent="0.2">
      <c r="A217" s="1">
        <v>44874</v>
      </c>
      <c r="B217">
        <v>121.66</v>
      </c>
      <c r="C217">
        <v>54.49</v>
      </c>
      <c r="D217">
        <v>13.76</v>
      </c>
      <c r="E217" s="2">
        <v>3748.57</v>
      </c>
      <c r="F217" s="3">
        <f t="shared" si="24"/>
        <v>-1.306076093128905E-2</v>
      </c>
      <c r="G217" s="3">
        <f t="shared" si="25"/>
        <v>-1.3934129569308618E-2</v>
      </c>
      <c r="H217" s="3">
        <f t="shared" si="26"/>
        <v>-5.6888279643591555E-2</v>
      </c>
      <c r="I217" s="3">
        <f t="shared" si="27"/>
        <v>-2.0777877333723382E-2</v>
      </c>
      <c r="J217" s="17">
        <v>-1.06</v>
      </c>
      <c r="K217" s="12">
        <v>0.15</v>
      </c>
      <c r="L217" s="14">
        <v>-0.5</v>
      </c>
      <c r="M217" s="20">
        <v>1.0999999999999999E-2</v>
      </c>
      <c r="N217" s="20">
        <f t="shared" si="28"/>
        <v>-2.406076093128905E-2</v>
      </c>
      <c r="O217" s="20">
        <f t="shared" si="29"/>
        <v>-6.7888279643591551E-2</v>
      </c>
      <c r="P217" s="20">
        <f t="shared" si="30"/>
        <v>-2.4934129569308617E-2</v>
      </c>
      <c r="Q217" s="20">
        <f t="shared" si="31"/>
        <v>-3.1777877333723378E-2</v>
      </c>
    </row>
    <row r="218" spans="1:17" x14ac:dyDescent="0.2">
      <c r="A218" s="1">
        <v>44875</v>
      </c>
      <c r="B218">
        <v>126.67</v>
      </c>
      <c r="C218">
        <v>56.45</v>
      </c>
      <c r="D218">
        <v>15.73</v>
      </c>
      <c r="E218" s="2">
        <v>3956.37</v>
      </c>
      <c r="F218" s="3">
        <f t="shared" si="24"/>
        <v>4.1180338648693082E-2</v>
      </c>
      <c r="G218" s="3">
        <f t="shared" si="25"/>
        <v>3.5969902734446668E-2</v>
      </c>
      <c r="H218" s="3">
        <f t="shared" si="26"/>
        <v>0.14316860465116288</v>
      </c>
      <c r="I218" s="3">
        <f t="shared" si="27"/>
        <v>5.5434472345454289E-2</v>
      </c>
      <c r="J218" s="12">
        <v>0.19</v>
      </c>
      <c r="K218" s="13">
        <v>-0.01</v>
      </c>
      <c r="L218" s="12">
        <v>0.52</v>
      </c>
      <c r="M218" s="20">
        <v>1.0999999999999999E-2</v>
      </c>
      <c r="N218" s="20">
        <f t="shared" si="28"/>
        <v>3.0180338648693083E-2</v>
      </c>
      <c r="O218" s="20">
        <f t="shared" si="29"/>
        <v>0.13216860465116287</v>
      </c>
      <c r="P218" s="20">
        <f t="shared" si="30"/>
        <v>2.4969902734446669E-2</v>
      </c>
      <c r="Q218" s="20">
        <f t="shared" si="31"/>
        <v>4.4434472345454293E-2</v>
      </c>
    </row>
    <row r="219" spans="1:17" x14ac:dyDescent="0.2">
      <c r="A219" s="1">
        <v>44876</v>
      </c>
      <c r="B219">
        <v>126.88</v>
      </c>
      <c r="C219">
        <v>56.86</v>
      </c>
      <c r="D219">
        <v>16.309999999999999</v>
      </c>
      <c r="E219" s="2">
        <v>3992.93</v>
      </c>
      <c r="F219" s="3">
        <f t="shared" si="24"/>
        <v>1.6578511091813741E-3</v>
      </c>
      <c r="G219" s="3">
        <f t="shared" si="25"/>
        <v>7.2630646589901815E-3</v>
      </c>
      <c r="H219" s="3">
        <f t="shared" si="26"/>
        <v>3.6872218690400471E-2</v>
      </c>
      <c r="I219" s="3">
        <f t="shared" si="27"/>
        <v>9.2407939601200084E-3</v>
      </c>
      <c r="J219" s="12">
        <v>0.68</v>
      </c>
      <c r="K219" s="13">
        <v>-0.03</v>
      </c>
      <c r="L219" s="12">
        <v>0.04</v>
      </c>
      <c r="M219" s="20">
        <v>1.0999999999999999E-2</v>
      </c>
      <c r="N219" s="20">
        <f t="shared" si="28"/>
        <v>-9.3421488908186252E-3</v>
      </c>
      <c r="O219" s="20">
        <f t="shared" si="29"/>
        <v>2.5872218690400472E-2</v>
      </c>
      <c r="P219" s="20">
        <f t="shared" si="30"/>
        <v>-3.7369353410098179E-3</v>
      </c>
      <c r="Q219" s="20">
        <f t="shared" si="31"/>
        <v>-1.7592060398799909E-3</v>
      </c>
    </row>
    <row r="220" spans="1:17" x14ac:dyDescent="0.2">
      <c r="A220" s="1">
        <v>44879</v>
      </c>
      <c r="B220">
        <v>125.58</v>
      </c>
      <c r="C220">
        <v>56.31</v>
      </c>
      <c r="D220">
        <v>16.28</v>
      </c>
      <c r="E220" s="2">
        <v>3957.25</v>
      </c>
      <c r="F220" s="3">
        <f t="shared" si="24"/>
        <v>-1.0245901639344246E-2</v>
      </c>
      <c r="G220" s="3">
        <f t="shared" si="25"/>
        <v>-9.6728807597608046E-3</v>
      </c>
      <c r="H220" s="3">
        <f t="shared" si="26"/>
        <v>-1.8393623543836446E-3</v>
      </c>
      <c r="I220" s="3">
        <f t="shared" si="27"/>
        <v>-8.9357940159231486E-3</v>
      </c>
      <c r="J220" s="12">
        <v>0.16</v>
      </c>
      <c r="K220" s="12">
        <v>0.44</v>
      </c>
      <c r="L220" s="13">
        <v>-0.32</v>
      </c>
      <c r="M220" s="20">
        <v>1.0999999999999999E-2</v>
      </c>
      <c r="N220" s="20">
        <f t="shared" si="28"/>
        <v>-2.1245901639344245E-2</v>
      </c>
      <c r="O220" s="20">
        <f t="shared" si="29"/>
        <v>-1.2839362354383644E-2</v>
      </c>
      <c r="P220" s="20">
        <f t="shared" si="30"/>
        <v>-2.0672880759760804E-2</v>
      </c>
      <c r="Q220" s="20">
        <f t="shared" si="31"/>
        <v>-1.9935794015923148E-2</v>
      </c>
    </row>
    <row r="221" spans="1:17" x14ac:dyDescent="0.2">
      <c r="A221" s="1">
        <v>44880</v>
      </c>
      <c r="B221">
        <v>124.67</v>
      </c>
      <c r="C221">
        <v>56.22</v>
      </c>
      <c r="D221">
        <v>16.649999999999999</v>
      </c>
      <c r="E221" s="2">
        <v>3991.73</v>
      </c>
      <c r="F221" s="3">
        <f t="shared" si="24"/>
        <v>-7.2463768115941241E-3</v>
      </c>
      <c r="G221" s="3">
        <f t="shared" si="25"/>
        <v>-1.5982951518380695E-3</v>
      </c>
      <c r="H221" s="3">
        <f t="shared" si="26"/>
        <v>2.2727272727272485E-2</v>
      </c>
      <c r="I221" s="3">
        <f t="shared" si="27"/>
        <v>8.7131214858804373E-3</v>
      </c>
      <c r="J221" s="12">
        <v>0.34</v>
      </c>
      <c r="K221" s="12">
        <v>0.17</v>
      </c>
      <c r="L221" s="12">
        <v>0.13</v>
      </c>
      <c r="M221" s="20">
        <v>1.0999999999999999E-2</v>
      </c>
      <c r="N221" s="20">
        <f t="shared" si="28"/>
        <v>-1.8246376811594123E-2</v>
      </c>
      <c r="O221" s="20">
        <f t="shared" si="29"/>
        <v>1.1727272727272486E-2</v>
      </c>
      <c r="P221" s="20">
        <f t="shared" si="30"/>
        <v>-1.2598295151838069E-2</v>
      </c>
      <c r="Q221" s="20">
        <f t="shared" si="31"/>
        <v>-2.286878514119562E-3</v>
      </c>
    </row>
    <row r="222" spans="1:17" x14ac:dyDescent="0.2">
      <c r="A222" s="1">
        <v>44881</v>
      </c>
      <c r="B222">
        <v>124.83</v>
      </c>
      <c r="C222">
        <v>56.12</v>
      </c>
      <c r="D222">
        <v>15.89</v>
      </c>
      <c r="E222" s="2">
        <v>3958.79</v>
      </c>
      <c r="F222" s="3">
        <f t="shared" si="24"/>
        <v>1.2833881447020801E-3</v>
      </c>
      <c r="G222" s="3">
        <f t="shared" si="25"/>
        <v>-1.7787264318748219E-3</v>
      </c>
      <c r="H222" s="3">
        <f t="shared" si="26"/>
        <v>-4.5645645645645549E-2</v>
      </c>
      <c r="I222" s="3">
        <f t="shared" si="27"/>
        <v>-8.2520611363995355E-3</v>
      </c>
      <c r="J222" s="12">
        <v>0.52</v>
      </c>
      <c r="K222" s="13">
        <v>-0.24</v>
      </c>
      <c r="L222" s="12">
        <v>0.08</v>
      </c>
      <c r="M222" s="20">
        <v>1.0999999999999999E-2</v>
      </c>
      <c r="N222" s="20">
        <f t="shared" si="28"/>
        <v>-9.7166118552979193E-3</v>
      </c>
      <c r="O222" s="20">
        <f t="shared" si="29"/>
        <v>-5.6645645645645545E-2</v>
      </c>
      <c r="P222" s="20">
        <f t="shared" si="30"/>
        <v>-1.2778726431874821E-2</v>
      </c>
      <c r="Q222" s="20">
        <f t="shared" si="31"/>
        <v>-1.9252061136399535E-2</v>
      </c>
    </row>
    <row r="223" spans="1:17" x14ac:dyDescent="0.2">
      <c r="A223" s="1">
        <v>44882</v>
      </c>
      <c r="B223">
        <v>124.29</v>
      </c>
      <c r="C223">
        <v>56.29</v>
      </c>
      <c r="D223">
        <v>15.66</v>
      </c>
      <c r="E223" s="2">
        <v>3946.56</v>
      </c>
      <c r="F223" s="3">
        <f t="shared" si="24"/>
        <v>-4.3258832011534576E-3</v>
      </c>
      <c r="G223" s="3">
        <f t="shared" si="25"/>
        <v>3.0292230933712805E-3</v>
      </c>
      <c r="H223" s="3">
        <f t="shared" si="26"/>
        <v>-1.4474512271869133E-2</v>
      </c>
      <c r="I223" s="3">
        <f t="shared" si="27"/>
        <v>-3.0893277996559831E-3</v>
      </c>
      <c r="J223" s="13">
        <v>-0.23</v>
      </c>
      <c r="K223" s="13">
        <v>-0.11</v>
      </c>
      <c r="L223" s="13">
        <v>-0.38</v>
      </c>
      <c r="M223" s="20">
        <v>1.0999999999999999E-2</v>
      </c>
      <c r="N223" s="20">
        <f t="shared" si="28"/>
        <v>-1.5325883201153457E-2</v>
      </c>
      <c r="O223" s="20">
        <f t="shared" si="29"/>
        <v>-2.5474512271869133E-2</v>
      </c>
      <c r="P223" s="20">
        <f t="shared" si="30"/>
        <v>-7.9707769066287189E-3</v>
      </c>
      <c r="Q223" s="20">
        <f t="shared" si="31"/>
        <v>-1.4089327799655983E-2</v>
      </c>
    </row>
    <row r="224" spans="1:17" x14ac:dyDescent="0.2">
      <c r="A224" s="1">
        <v>44883</v>
      </c>
      <c r="B224">
        <v>125.51</v>
      </c>
      <c r="C224">
        <v>56.69</v>
      </c>
      <c r="D224">
        <v>15.39</v>
      </c>
      <c r="E224" s="2">
        <v>3965.34</v>
      </c>
      <c r="F224" s="3">
        <f t="shared" si="24"/>
        <v>9.8157534797651547E-3</v>
      </c>
      <c r="G224" s="3">
        <f t="shared" si="25"/>
        <v>7.1060579143720215E-3</v>
      </c>
      <c r="H224" s="3">
        <f t="shared" si="26"/>
        <v>-1.7241379310344751E-2</v>
      </c>
      <c r="I224" s="3">
        <f t="shared" si="27"/>
        <v>4.7585745560692061E-3</v>
      </c>
      <c r="J224" s="13">
        <v>-0.62</v>
      </c>
      <c r="K224" s="12">
        <v>0.14000000000000001</v>
      </c>
      <c r="L224" s="15">
        <v>1.21</v>
      </c>
      <c r="M224" s="20">
        <v>1.0999999999999999E-2</v>
      </c>
      <c r="N224" s="20">
        <f t="shared" si="28"/>
        <v>-1.1842465202348447E-3</v>
      </c>
      <c r="O224" s="20">
        <f t="shared" si="29"/>
        <v>-2.824137931034475E-2</v>
      </c>
      <c r="P224" s="20">
        <f t="shared" si="30"/>
        <v>-3.8939420856279779E-3</v>
      </c>
      <c r="Q224" s="20">
        <f t="shared" si="31"/>
        <v>-6.2414254439307933E-3</v>
      </c>
    </row>
    <row r="225" spans="1:17" x14ac:dyDescent="0.2">
      <c r="A225" s="1">
        <v>44886</v>
      </c>
      <c r="B225">
        <v>124.77</v>
      </c>
      <c r="C225">
        <v>57.56</v>
      </c>
      <c r="D225">
        <v>15.3</v>
      </c>
      <c r="E225" s="2">
        <v>3949.94</v>
      </c>
      <c r="F225" s="3">
        <f t="shared" si="24"/>
        <v>-5.8959445462514193E-3</v>
      </c>
      <c r="G225" s="3">
        <f t="shared" si="25"/>
        <v>1.5346621979185127E-2</v>
      </c>
      <c r="H225" s="3">
        <f t="shared" si="26"/>
        <v>-5.8479532163742132E-3</v>
      </c>
      <c r="I225" s="3">
        <f t="shared" si="27"/>
        <v>-3.8836518432215916E-3</v>
      </c>
      <c r="J225" s="11">
        <v>0.3</v>
      </c>
      <c r="K225" s="13">
        <v>-0.81</v>
      </c>
      <c r="L225" s="12">
        <v>0.48</v>
      </c>
      <c r="M225" s="20">
        <v>1.0999999999999999E-2</v>
      </c>
      <c r="N225" s="20">
        <f t="shared" si="28"/>
        <v>-1.6895944546251419E-2</v>
      </c>
      <c r="O225" s="20">
        <f t="shared" si="29"/>
        <v>-1.6847953216374213E-2</v>
      </c>
      <c r="P225" s="20">
        <f t="shared" si="30"/>
        <v>4.3466219791851272E-3</v>
      </c>
      <c r="Q225" s="20">
        <f t="shared" si="31"/>
        <v>-1.4883651843221591E-2</v>
      </c>
    </row>
    <row r="226" spans="1:17" x14ac:dyDescent="0.2">
      <c r="A226" s="1">
        <v>44887</v>
      </c>
      <c r="B226">
        <v>126.63</v>
      </c>
      <c r="C226">
        <v>57.81</v>
      </c>
      <c r="D226">
        <v>16.02</v>
      </c>
      <c r="E226" s="2">
        <v>4003.58</v>
      </c>
      <c r="F226" s="3">
        <f t="shared" si="24"/>
        <v>1.4907429670593997E-2</v>
      </c>
      <c r="G226" s="3">
        <f t="shared" si="25"/>
        <v>4.343293954134797E-3</v>
      </c>
      <c r="H226" s="3">
        <f t="shared" si="26"/>
        <v>4.7058823529411598E-2</v>
      </c>
      <c r="I226" s="3">
        <f t="shared" si="27"/>
        <v>1.3579953113211918E-2</v>
      </c>
      <c r="J226" s="13">
        <v>-0.05</v>
      </c>
      <c r="K226" s="13">
        <v>-0.19</v>
      </c>
      <c r="L226" s="14">
        <v>-0.3</v>
      </c>
      <c r="M226" s="21">
        <v>0.01</v>
      </c>
      <c r="N226" s="20">
        <f t="shared" si="28"/>
        <v>4.9074296705939966E-3</v>
      </c>
      <c r="O226" s="20">
        <f t="shared" si="29"/>
        <v>3.7058823529411596E-2</v>
      </c>
      <c r="P226" s="20">
        <f t="shared" si="30"/>
        <v>-5.6567060458652032E-3</v>
      </c>
      <c r="Q226" s="20">
        <f t="shared" si="31"/>
        <v>3.5799531132119176E-3</v>
      </c>
    </row>
    <row r="227" spans="1:17" x14ac:dyDescent="0.2">
      <c r="A227" s="1">
        <v>44888</v>
      </c>
      <c r="B227">
        <v>127.99</v>
      </c>
      <c r="C227">
        <v>58.07</v>
      </c>
      <c r="D227">
        <v>16.5</v>
      </c>
      <c r="E227" s="2">
        <v>4027.26</v>
      </c>
      <c r="F227" s="3">
        <f t="shared" si="24"/>
        <v>1.0739951038458484E-2</v>
      </c>
      <c r="G227" s="3">
        <f t="shared" si="25"/>
        <v>4.4974917834283978E-3</v>
      </c>
      <c r="H227" s="3">
        <f t="shared" si="26"/>
        <v>2.9962546816479474E-2</v>
      </c>
      <c r="I227" s="3">
        <f t="shared" si="27"/>
        <v>5.9147063378277576E-3</v>
      </c>
      <c r="J227" s="13">
        <v>-0.08</v>
      </c>
      <c r="K227" s="12">
        <v>0.17</v>
      </c>
      <c r="L227" s="12">
        <v>0.05</v>
      </c>
      <c r="M227" s="21">
        <v>0.01</v>
      </c>
      <c r="N227" s="20">
        <f t="shared" si="28"/>
        <v>7.3995103845848377E-4</v>
      </c>
      <c r="O227" s="20">
        <f t="shared" si="29"/>
        <v>1.9962546816479472E-2</v>
      </c>
      <c r="P227" s="20">
        <f t="shared" si="30"/>
        <v>-5.5025082165716024E-3</v>
      </c>
      <c r="Q227" s="20">
        <f t="shared" si="31"/>
        <v>-4.0852936621722426E-3</v>
      </c>
    </row>
    <row r="228" spans="1:17" x14ac:dyDescent="0.2">
      <c r="A228" s="1">
        <v>44890</v>
      </c>
      <c r="B228">
        <v>128.22999999999999</v>
      </c>
      <c r="C228">
        <v>58.13</v>
      </c>
      <c r="D228">
        <v>16.25</v>
      </c>
      <c r="E228" s="2">
        <v>4026.12</v>
      </c>
      <c r="F228" s="3">
        <f t="shared" si="24"/>
        <v>1.8751464958199904E-3</v>
      </c>
      <c r="G228" s="3">
        <f t="shared" si="25"/>
        <v>1.0332357499569511E-3</v>
      </c>
      <c r="H228" s="3">
        <f t="shared" si="26"/>
        <v>-1.5151515151515138E-2</v>
      </c>
      <c r="I228" s="3">
        <f t="shared" si="27"/>
        <v>-2.830708720074071E-4</v>
      </c>
      <c r="J228" s="12">
        <v>0.53</v>
      </c>
      <c r="K228" s="13">
        <v>-0.19</v>
      </c>
      <c r="L228" s="18">
        <v>1.1000000000000001</v>
      </c>
      <c r="M228" s="21">
        <v>0.01</v>
      </c>
      <c r="N228" s="20">
        <f t="shared" si="28"/>
        <v>-8.1248535041800098E-3</v>
      </c>
      <c r="O228" s="20">
        <f t="shared" si="29"/>
        <v>-2.515151515151514E-2</v>
      </c>
      <c r="P228" s="20">
        <f t="shared" si="30"/>
        <v>-8.9667642500430491E-3</v>
      </c>
      <c r="Q228" s="20">
        <f t="shared" si="31"/>
        <v>-1.0283070872007407E-2</v>
      </c>
    </row>
    <row r="229" spans="1:17" x14ac:dyDescent="0.2">
      <c r="A229" s="1">
        <v>44893</v>
      </c>
      <c r="B229">
        <v>125.99</v>
      </c>
      <c r="C229">
        <v>58.14</v>
      </c>
      <c r="D229">
        <v>15.81</v>
      </c>
      <c r="E229" s="2">
        <v>3963.94</v>
      </c>
      <c r="F229" s="3">
        <f t="shared" si="24"/>
        <v>-1.7468611089448638E-2</v>
      </c>
      <c r="G229" s="3">
        <f t="shared" si="25"/>
        <v>1.7202821262674028E-4</v>
      </c>
      <c r="H229" s="3">
        <f t="shared" si="26"/>
        <v>-2.7076923076922998E-2</v>
      </c>
      <c r="I229" s="3">
        <f t="shared" si="27"/>
        <v>-1.5444149702443011E-2</v>
      </c>
      <c r="J229" s="12">
        <v>0.59</v>
      </c>
      <c r="K229" s="13">
        <v>-0.28000000000000003</v>
      </c>
      <c r="L229" s="13">
        <v>-0.01</v>
      </c>
      <c r="M229" s="21">
        <v>0.01</v>
      </c>
      <c r="N229" s="20">
        <f t="shared" si="28"/>
        <v>-2.746861108944864E-2</v>
      </c>
      <c r="O229" s="20">
        <f t="shared" si="29"/>
        <v>-3.7076923076923E-2</v>
      </c>
      <c r="P229" s="20">
        <f t="shared" si="30"/>
        <v>-9.8279717873732599E-3</v>
      </c>
      <c r="Q229" s="20">
        <f t="shared" si="31"/>
        <v>-2.5444149702443013E-2</v>
      </c>
    </row>
    <row r="230" spans="1:17" x14ac:dyDescent="0.2">
      <c r="A230" s="1">
        <v>44894</v>
      </c>
      <c r="B230">
        <v>128.06</v>
      </c>
      <c r="C230">
        <v>57.93</v>
      </c>
      <c r="D230">
        <v>15.62</v>
      </c>
      <c r="E230" s="2">
        <v>3957.63</v>
      </c>
      <c r="F230" s="3">
        <f t="shared" si="24"/>
        <v>1.6429875386935633E-2</v>
      </c>
      <c r="G230" s="3">
        <f t="shared" si="25"/>
        <v>-3.6119711042311708E-3</v>
      </c>
      <c r="H230" s="3">
        <f t="shared" si="26"/>
        <v>-1.2017710309930485E-2</v>
      </c>
      <c r="I230" s="3">
        <f t="shared" si="27"/>
        <v>-1.5918505325509535E-3</v>
      </c>
      <c r="J230" s="12">
        <v>0.11</v>
      </c>
      <c r="K230" s="13">
        <v>-0.09</v>
      </c>
      <c r="L230" s="13">
        <v>-0.06</v>
      </c>
      <c r="M230" s="21">
        <v>0.01</v>
      </c>
      <c r="N230" s="20">
        <f t="shared" si="28"/>
        <v>6.4298753869356327E-3</v>
      </c>
      <c r="O230" s="20">
        <f t="shared" si="29"/>
        <v>-2.2017710309930487E-2</v>
      </c>
      <c r="P230" s="20">
        <f t="shared" si="30"/>
        <v>-1.3611971104231171E-2</v>
      </c>
      <c r="Q230" s="20">
        <f t="shared" si="31"/>
        <v>-1.1591850532550954E-2</v>
      </c>
    </row>
    <row r="231" spans="1:17" x14ac:dyDescent="0.2">
      <c r="A231" s="1">
        <v>44895</v>
      </c>
      <c r="B231">
        <v>129.58000000000001</v>
      </c>
      <c r="C231">
        <v>59.4</v>
      </c>
      <c r="D231">
        <v>16.91</v>
      </c>
      <c r="E231" s="2">
        <v>4080.11</v>
      </c>
      <c r="F231" s="3">
        <f t="shared" si="24"/>
        <v>1.1869436201780603E-2</v>
      </c>
      <c r="G231" s="3">
        <f t="shared" si="25"/>
        <v>2.5375453133091641E-2</v>
      </c>
      <c r="H231" s="3">
        <f t="shared" si="26"/>
        <v>8.2586427656850203E-2</v>
      </c>
      <c r="I231" s="3">
        <f t="shared" si="27"/>
        <v>3.0947814727501077E-2</v>
      </c>
      <c r="J231" s="12">
        <v>0.24</v>
      </c>
      <c r="K231" s="13">
        <v>-0.34</v>
      </c>
      <c r="L231" s="11">
        <v>0.3</v>
      </c>
      <c r="M231" s="21">
        <v>0.01</v>
      </c>
      <c r="N231" s="20">
        <f t="shared" si="28"/>
        <v>1.869436201780603E-3</v>
      </c>
      <c r="O231" s="20">
        <f t="shared" si="29"/>
        <v>7.2586427656850208E-2</v>
      </c>
      <c r="P231" s="20">
        <f t="shared" si="30"/>
        <v>1.5375453133091641E-2</v>
      </c>
      <c r="Q231" s="20">
        <f t="shared" si="31"/>
        <v>2.0947814727501075E-2</v>
      </c>
    </row>
    <row r="232" spans="1:17" x14ac:dyDescent="0.2">
      <c r="A232" s="1">
        <v>44896</v>
      </c>
      <c r="B232">
        <v>127.76</v>
      </c>
      <c r="C232">
        <v>59.57</v>
      </c>
      <c r="D232">
        <v>17.12</v>
      </c>
      <c r="E232" s="2">
        <v>4076.57</v>
      </c>
      <c r="F232" s="3">
        <f t="shared" si="24"/>
        <v>-1.4045377373051449E-2</v>
      </c>
      <c r="G232" s="3">
        <f t="shared" si="25"/>
        <v>2.8619528619528989E-3</v>
      </c>
      <c r="H232" s="3">
        <f t="shared" si="26"/>
        <v>1.2418687167356612E-2</v>
      </c>
      <c r="I232" s="3">
        <f t="shared" si="27"/>
        <v>-8.6762366700898763E-4</v>
      </c>
      <c r="J232" s="12">
        <v>0.31</v>
      </c>
      <c r="K232" s="12">
        <v>0.34</v>
      </c>
      <c r="L232" s="13">
        <v>-0.04</v>
      </c>
      <c r="M232" s="21">
        <v>0.01</v>
      </c>
      <c r="N232" s="20">
        <f t="shared" si="28"/>
        <v>-2.4045377373051451E-2</v>
      </c>
      <c r="O232" s="20">
        <f t="shared" si="29"/>
        <v>2.4186871673566122E-3</v>
      </c>
      <c r="P232" s="20">
        <f t="shared" si="30"/>
        <v>-7.1380471380471013E-3</v>
      </c>
      <c r="Q232" s="20">
        <f t="shared" si="31"/>
        <v>-1.0867623667008988E-2</v>
      </c>
    </row>
    <row r="233" spans="1:17" x14ac:dyDescent="0.2">
      <c r="A233" s="1">
        <v>44897</v>
      </c>
      <c r="B233">
        <v>126.75</v>
      </c>
      <c r="C233">
        <v>60.09</v>
      </c>
      <c r="D233">
        <v>16.86</v>
      </c>
      <c r="E233" s="2">
        <v>4071.7</v>
      </c>
      <c r="F233" s="3">
        <f t="shared" si="24"/>
        <v>-7.905447714464664E-3</v>
      </c>
      <c r="G233" s="3">
        <f t="shared" si="25"/>
        <v>8.7292261205305088E-3</v>
      </c>
      <c r="H233" s="3">
        <f t="shared" si="26"/>
        <v>-1.5186915887850594E-2</v>
      </c>
      <c r="I233" s="3">
        <f t="shared" si="27"/>
        <v>-1.1946317615054713E-3</v>
      </c>
      <c r="J233" s="12">
        <v>0.03</v>
      </c>
      <c r="K233" s="13">
        <v>-0.17</v>
      </c>
      <c r="L233" s="12">
        <v>0.36</v>
      </c>
      <c r="M233" s="21">
        <v>0.01</v>
      </c>
      <c r="N233" s="20">
        <f t="shared" si="28"/>
        <v>-1.7905447714464666E-2</v>
      </c>
      <c r="O233" s="20">
        <f t="shared" si="29"/>
        <v>-2.5186915887850596E-2</v>
      </c>
      <c r="P233" s="20">
        <f t="shared" si="30"/>
        <v>-1.2707738794694914E-3</v>
      </c>
      <c r="Q233" s="20">
        <f t="shared" si="31"/>
        <v>-1.1194631761505472E-2</v>
      </c>
    </row>
    <row r="234" spans="1:17" x14ac:dyDescent="0.2">
      <c r="A234" s="1">
        <v>44900</v>
      </c>
      <c r="B234">
        <v>123.19</v>
      </c>
      <c r="C234">
        <v>59.27</v>
      </c>
      <c r="D234">
        <v>16.600000000000001</v>
      </c>
      <c r="E234" s="2">
        <v>3998.84</v>
      </c>
      <c r="F234" s="3">
        <f t="shared" si="24"/>
        <v>-2.8086785009861948E-2</v>
      </c>
      <c r="G234" s="3">
        <f t="shared" si="25"/>
        <v>-1.3646197370610791E-2</v>
      </c>
      <c r="H234" s="3">
        <f t="shared" si="26"/>
        <v>-1.5421115065243018E-2</v>
      </c>
      <c r="I234" s="3">
        <f t="shared" si="27"/>
        <v>-1.7894245646781326E-2</v>
      </c>
      <c r="J234" s="12">
        <v>0.19</v>
      </c>
      <c r="K234" s="12">
        <v>0.01</v>
      </c>
      <c r="L234" s="13">
        <v>-0.16</v>
      </c>
      <c r="M234" s="21">
        <v>0.01</v>
      </c>
      <c r="N234" s="20">
        <f t="shared" si="28"/>
        <v>-3.808678500986195E-2</v>
      </c>
      <c r="O234" s="20">
        <f t="shared" si="29"/>
        <v>-2.542111506524302E-2</v>
      </c>
      <c r="P234" s="20">
        <f t="shared" si="30"/>
        <v>-2.3646197370610793E-2</v>
      </c>
      <c r="Q234" s="20">
        <f t="shared" si="31"/>
        <v>-2.7894245646781328E-2</v>
      </c>
    </row>
    <row r="235" spans="1:17" x14ac:dyDescent="0.2">
      <c r="A235" s="1">
        <v>44901</v>
      </c>
      <c r="B235">
        <v>123.4</v>
      </c>
      <c r="C235">
        <v>59.24</v>
      </c>
      <c r="D235">
        <v>15.97</v>
      </c>
      <c r="E235" s="2">
        <v>3941.26</v>
      </c>
      <c r="F235" s="3">
        <f t="shared" si="24"/>
        <v>1.7046838217389393E-3</v>
      </c>
      <c r="G235" s="3">
        <f t="shared" si="25"/>
        <v>-5.0615825881561438E-4</v>
      </c>
      <c r="H235" s="3">
        <f t="shared" si="26"/>
        <v>-3.7951807228915668E-2</v>
      </c>
      <c r="I235" s="3">
        <f t="shared" si="27"/>
        <v>-1.4399175760970717E-2</v>
      </c>
      <c r="J235" s="13">
        <v>-0.28999999999999998</v>
      </c>
      <c r="K235" s="12">
        <v>0.53</v>
      </c>
      <c r="L235" s="13">
        <v>-7.0000000000000007E-2</v>
      </c>
      <c r="M235" s="21">
        <v>0.01</v>
      </c>
      <c r="N235" s="20">
        <f t="shared" si="28"/>
        <v>-8.2953161782610609E-3</v>
      </c>
      <c r="O235" s="20">
        <f t="shared" si="29"/>
        <v>-4.795180722891567E-2</v>
      </c>
      <c r="P235" s="20">
        <f t="shared" si="30"/>
        <v>-1.0506158258815615E-2</v>
      </c>
      <c r="Q235" s="20">
        <f t="shared" si="31"/>
        <v>-2.4399175760970719E-2</v>
      </c>
    </row>
    <row r="236" spans="1:17" x14ac:dyDescent="0.2">
      <c r="A236" s="1">
        <v>44902</v>
      </c>
      <c r="B236">
        <v>123.32</v>
      </c>
      <c r="C236">
        <v>59.33</v>
      </c>
      <c r="D236">
        <v>16.11</v>
      </c>
      <c r="E236" s="2">
        <v>3933.92</v>
      </c>
      <c r="F236" s="3">
        <f t="shared" si="24"/>
        <v>-6.4829821718004332E-4</v>
      </c>
      <c r="G236" s="3">
        <f t="shared" si="25"/>
        <v>1.5192437542199677E-3</v>
      </c>
      <c r="H236" s="3">
        <f t="shared" si="26"/>
        <v>8.7664370695053062E-3</v>
      </c>
      <c r="I236" s="3">
        <f t="shared" si="27"/>
        <v>-1.8623485890298941E-3</v>
      </c>
      <c r="J236" s="12">
        <v>0.21</v>
      </c>
      <c r="K236" s="12">
        <v>0.08</v>
      </c>
      <c r="L236" s="17">
        <v>-1.06</v>
      </c>
      <c r="M236" s="21">
        <v>0.01</v>
      </c>
      <c r="N236" s="20">
        <f t="shared" si="28"/>
        <v>-1.0648298217180044E-2</v>
      </c>
      <c r="O236" s="20">
        <f t="shared" si="29"/>
        <v>-1.233562930494694E-3</v>
      </c>
      <c r="P236" s="20">
        <f t="shared" si="30"/>
        <v>-8.4807562457800325E-3</v>
      </c>
      <c r="Q236" s="20">
        <f t="shared" si="31"/>
        <v>-1.1862348589029894E-2</v>
      </c>
    </row>
    <row r="237" spans="1:17" x14ac:dyDescent="0.2">
      <c r="A237" s="1">
        <v>44903</v>
      </c>
      <c r="B237">
        <v>124.61</v>
      </c>
      <c r="C237">
        <v>59.59</v>
      </c>
      <c r="D237">
        <v>17.149999999999999</v>
      </c>
      <c r="E237" s="2">
        <v>3963.51</v>
      </c>
      <c r="F237" s="3">
        <f t="shared" si="24"/>
        <v>1.0460590334090192E-2</v>
      </c>
      <c r="G237" s="3">
        <f t="shared" si="25"/>
        <v>4.3822686667791544E-3</v>
      </c>
      <c r="H237" s="3">
        <f t="shared" si="26"/>
        <v>6.4556176288019795E-2</v>
      </c>
      <c r="I237" s="3">
        <f t="shared" si="27"/>
        <v>7.5217594663847809E-3</v>
      </c>
      <c r="J237" s="12">
        <v>0.09</v>
      </c>
      <c r="K237" s="12">
        <v>0.36</v>
      </c>
      <c r="L237" s="13">
        <v>-0.18</v>
      </c>
      <c r="M237" s="21">
        <v>0.01</v>
      </c>
      <c r="N237" s="20">
        <f t="shared" si="28"/>
        <v>4.6059033409019158E-4</v>
      </c>
      <c r="O237" s="20">
        <f t="shared" si="29"/>
        <v>5.4556176288019793E-2</v>
      </c>
      <c r="P237" s="20">
        <f t="shared" si="30"/>
        <v>-5.6177313332208458E-3</v>
      </c>
      <c r="Q237" s="20">
        <f t="shared" si="31"/>
        <v>-2.4782405336152193E-3</v>
      </c>
    </row>
    <row r="238" spans="1:17" x14ac:dyDescent="0.2">
      <c r="A238" s="1">
        <v>44904</v>
      </c>
      <c r="B238">
        <v>123.93</v>
      </c>
      <c r="C238">
        <v>58.96</v>
      </c>
      <c r="D238">
        <v>16.989999999999998</v>
      </c>
      <c r="E238" s="2">
        <v>3934.38</v>
      </c>
      <c r="F238" s="3">
        <f t="shared" si="24"/>
        <v>-5.4570259208730487E-3</v>
      </c>
      <c r="G238" s="3">
        <f t="shared" si="25"/>
        <v>-1.0572243665044501E-2</v>
      </c>
      <c r="H238" s="3">
        <f t="shared" si="26"/>
        <v>-9.3294460641399901E-3</v>
      </c>
      <c r="I238" s="3">
        <f t="shared" si="27"/>
        <v>-7.3495462355336327E-3</v>
      </c>
      <c r="J238" s="12">
        <v>0.18</v>
      </c>
      <c r="K238" s="12">
        <v>0.55000000000000004</v>
      </c>
      <c r="L238" s="12">
        <v>0.18</v>
      </c>
      <c r="M238" s="21">
        <v>0.01</v>
      </c>
      <c r="N238" s="20">
        <f t="shared" si="28"/>
        <v>-1.5457025920873049E-2</v>
      </c>
      <c r="O238" s="20">
        <f t="shared" si="29"/>
        <v>-1.9329446064139992E-2</v>
      </c>
      <c r="P238" s="20">
        <f t="shared" si="30"/>
        <v>-2.0572243665044503E-2</v>
      </c>
      <c r="Q238" s="20">
        <f t="shared" si="31"/>
        <v>-1.7349546235533635E-2</v>
      </c>
    </row>
    <row r="239" spans="1:17" x14ac:dyDescent="0.2">
      <c r="A239" s="1">
        <v>44907</v>
      </c>
      <c r="B239">
        <v>125.86</v>
      </c>
      <c r="C239">
        <v>59.73</v>
      </c>
      <c r="D239">
        <v>17.52</v>
      </c>
      <c r="E239" s="2">
        <v>3990.56</v>
      </c>
      <c r="F239" s="3">
        <f t="shared" si="24"/>
        <v>1.5573307512305234E-2</v>
      </c>
      <c r="G239" s="3">
        <f t="shared" si="25"/>
        <v>1.3059701492537323E-2</v>
      </c>
      <c r="H239" s="3">
        <f t="shared" si="26"/>
        <v>3.1194820482636887E-2</v>
      </c>
      <c r="I239" s="3">
        <f t="shared" si="27"/>
        <v>1.4279251114533986E-2</v>
      </c>
      <c r="J239" s="13">
        <v>-0.03</v>
      </c>
      <c r="K239" s="13">
        <v>-0.18</v>
      </c>
      <c r="L239" s="12">
        <v>0.78</v>
      </c>
      <c r="M239" s="21">
        <v>0.01</v>
      </c>
      <c r="N239" s="20">
        <f t="shared" si="28"/>
        <v>5.5733075123052343E-3</v>
      </c>
      <c r="O239" s="20">
        <f t="shared" si="29"/>
        <v>2.1194820482636885E-2</v>
      </c>
      <c r="P239" s="20">
        <f t="shared" si="30"/>
        <v>3.0597014925373232E-3</v>
      </c>
      <c r="Q239" s="20">
        <f t="shared" si="31"/>
        <v>4.279251114533986E-3</v>
      </c>
    </row>
    <row r="240" spans="1:17" x14ac:dyDescent="0.2">
      <c r="A240" s="1">
        <v>44908</v>
      </c>
      <c r="B240">
        <v>125.73</v>
      </c>
      <c r="C240">
        <v>59.75</v>
      </c>
      <c r="D240">
        <v>18.059999999999999</v>
      </c>
      <c r="E240" s="2">
        <v>4019.65</v>
      </c>
      <c r="F240" s="3">
        <f t="shared" si="24"/>
        <v>-1.0328936914031361E-3</v>
      </c>
      <c r="G240" s="3">
        <f t="shared" si="25"/>
        <v>3.3484011384565804E-4</v>
      </c>
      <c r="H240" s="3">
        <f t="shared" si="26"/>
        <v>3.082191780821919E-2</v>
      </c>
      <c r="I240" s="3">
        <f t="shared" si="27"/>
        <v>7.289703700733785E-3</v>
      </c>
      <c r="J240" s="12">
        <v>0.18</v>
      </c>
      <c r="K240" s="13">
        <v>-7.0000000000000007E-2</v>
      </c>
      <c r="L240" s="12">
        <v>0.31</v>
      </c>
      <c r="M240" s="21">
        <v>0.01</v>
      </c>
      <c r="N240" s="20">
        <f t="shared" si="28"/>
        <v>-1.1032893691403136E-2</v>
      </c>
      <c r="O240" s="20">
        <f t="shared" si="29"/>
        <v>2.0821917808219188E-2</v>
      </c>
      <c r="P240" s="20">
        <f t="shared" si="30"/>
        <v>-9.6651598861543422E-3</v>
      </c>
      <c r="Q240" s="20">
        <f t="shared" si="31"/>
        <v>-2.7102962992662152E-3</v>
      </c>
    </row>
    <row r="241" spans="1:17" x14ac:dyDescent="0.2">
      <c r="A241" s="1">
        <v>44909</v>
      </c>
      <c r="B241">
        <v>125.11</v>
      </c>
      <c r="C241">
        <v>59.75</v>
      </c>
      <c r="D241">
        <v>17.66</v>
      </c>
      <c r="E241" s="2">
        <v>3995.32</v>
      </c>
      <c r="F241" s="3">
        <f t="shared" si="24"/>
        <v>-4.9312017815955622E-3</v>
      </c>
      <c r="G241" s="3">
        <f t="shared" si="25"/>
        <v>0</v>
      </c>
      <c r="H241" s="3">
        <f t="shared" si="26"/>
        <v>-2.2148394241417457E-2</v>
      </c>
      <c r="I241" s="3">
        <f t="shared" si="27"/>
        <v>-6.0527657880661279E-3</v>
      </c>
      <c r="J241" s="12">
        <v>0.27</v>
      </c>
      <c r="K241" s="13">
        <v>-0.34</v>
      </c>
      <c r="L241" s="11">
        <v>0.9</v>
      </c>
      <c r="M241" s="21">
        <v>0.01</v>
      </c>
      <c r="N241" s="20">
        <f t="shared" si="28"/>
        <v>-1.4931201781595562E-2</v>
      </c>
      <c r="O241" s="20">
        <f t="shared" si="29"/>
        <v>-3.2148394241417459E-2</v>
      </c>
      <c r="P241" s="20">
        <f t="shared" si="30"/>
        <v>-0.01</v>
      </c>
      <c r="Q241" s="20">
        <f t="shared" si="31"/>
        <v>-1.605276578806613E-2</v>
      </c>
    </row>
    <row r="242" spans="1:17" x14ac:dyDescent="0.2">
      <c r="A242" s="1">
        <v>44910</v>
      </c>
      <c r="B242">
        <v>122</v>
      </c>
      <c r="C242">
        <v>58.93</v>
      </c>
      <c r="D242">
        <v>16.940000000000001</v>
      </c>
      <c r="E242" s="2">
        <v>3895.75</v>
      </c>
      <c r="F242" s="3">
        <f t="shared" si="24"/>
        <v>-2.4858124850131835E-2</v>
      </c>
      <c r="G242" s="3">
        <f t="shared" si="25"/>
        <v>-1.3723849372384911E-2</v>
      </c>
      <c r="H242" s="3">
        <f t="shared" si="26"/>
        <v>-4.0770101925254765E-2</v>
      </c>
      <c r="I242" s="3">
        <f t="shared" si="27"/>
        <v>-2.4921658340258168E-2</v>
      </c>
      <c r="J242" s="12">
        <v>0.36</v>
      </c>
      <c r="K242" s="13">
        <v>-0.25</v>
      </c>
      <c r="L242" s="13">
        <v>-0.76</v>
      </c>
      <c r="M242" s="21">
        <v>0.01</v>
      </c>
      <c r="N242" s="20">
        <f t="shared" si="28"/>
        <v>-3.4858124850131837E-2</v>
      </c>
      <c r="O242" s="20">
        <f t="shared" si="29"/>
        <v>-5.0770101925254767E-2</v>
      </c>
      <c r="P242" s="20">
        <f t="shared" si="30"/>
        <v>-2.3723849372384913E-2</v>
      </c>
      <c r="Q242" s="20">
        <f t="shared" si="31"/>
        <v>-3.492165834025817E-2</v>
      </c>
    </row>
    <row r="243" spans="1:17" x14ac:dyDescent="0.2">
      <c r="A243" s="1">
        <v>44911</v>
      </c>
      <c r="B243">
        <v>121.24</v>
      </c>
      <c r="C243">
        <v>58.6</v>
      </c>
      <c r="D243">
        <v>16.559999999999999</v>
      </c>
      <c r="E243" s="2">
        <v>3852.36</v>
      </c>
      <c r="F243" s="3">
        <f t="shared" si="24"/>
        <v>-6.2295081967213006E-3</v>
      </c>
      <c r="G243" s="3">
        <f t="shared" si="25"/>
        <v>-5.5998642457152359E-3</v>
      </c>
      <c r="H243" s="3">
        <f t="shared" si="26"/>
        <v>-2.2432113341204429E-2</v>
      </c>
      <c r="I243" s="3">
        <f t="shared" si="27"/>
        <v>-1.1137778348199956E-2</v>
      </c>
      <c r="J243" s="12">
        <v>7.0000000000000007E-2</v>
      </c>
      <c r="K243" s="13">
        <v>-0.34</v>
      </c>
      <c r="L243" s="12">
        <v>0.04</v>
      </c>
      <c r="M243" s="21">
        <v>0.01</v>
      </c>
      <c r="N243" s="20">
        <f t="shared" si="28"/>
        <v>-1.6229508196721303E-2</v>
      </c>
      <c r="O243" s="20">
        <f t="shared" si="29"/>
        <v>-3.2432113341204431E-2</v>
      </c>
      <c r="P243" s="20">
        <f t="shared" si="30"/>
        <v>-1.5599864245715236E-2</v>
      </c>
      <c r="Q243" s="20">
        <f t="shared" si="31"/>
        <v>-2.1137778348199958E-2</v>
      </c>
    </row>
    <row r="244" spans="1:17" x14ac:dyDescent="0.2">
      <c r="A244" s="1">
        <v>44914</v>
      </c>
      <c r="B244">
        <v>121.96</v>
      </c>
      <c r="C244">
        <v>58.68</v>
      </c>
      <c r="D244">
        <v>16.239999999999998</v>
      </c>
      <c r="E244" s="2">
        <v>3817.66</v>
      </c>
      <c r="F244" s="3">
        <f t="shared" si="24"/>
        <v>5.9386341141536292E-3</v>
      </c>
      <c r="G244" s="3">
        <f t="shared" si="25"/>
        <v>1.3651877133105117E-3</v>
      </c>
      <c r="H244" s="3">
        <f t="shared" si="26"/>
        <v>-1.9323671497584516E-2</v>
      </c>
      <c r="I244" s="3">
        <f t="shared" si="27"/>
        <v>-9.007465553582783E-3</v>
      </c>
      <c r="J244" s="13">
        <v>-0.37</v>
      </c>
      <c r="K244" s="12">
        <v>0.21</v>
      </c>
      <c r="L244" s="12">
        <v>0.04</v>
      </c>
      <c r="M244" s="21">
        <v>0.01</v>
      </c>
      <c r="N244" s="20">
        <f t="shared" si="28"/>
        <v>-4.061365885846371E-3</v>
      </c>
      <c r="O244" s="20">
        <f t="shared" si="29"/>
        <v>-2.9323671497584518E-2</v>
      </c>
      <c r="P244" s="20">
        <f t="shared" si="30"/>
        <v>-8.6348122866894885E-3</v>
      </c>
      <c r="Q244" s="20">
        <f t="shared" si="31"/>
        <v>-1.9007465553582785E-2</v>
      </c>
    </row>
    <row r="245" spans="1:17" x14ac:dyDescent="0.2">
      <c r="A245" s="1">
        <v>44915</v>
      </c>
      <c r="B245">
        <v>122.56</v>
      </c>
      <c r="C245">
        <v>58.63</v>
      </c>
      <c r="D245">
        <v>16.07</v>
      </c>
      <c r="E245" s="2">
        <v>3821.62</v>
      </c>
      <c r="F245" s="3">
        <f t="shared" si="24"/>
        <v>4.9196457855034126E-3</v>
      </c>
      <c r="G245" s="3">
        <f t="shared" si="25"/>
        <v>-8.5207907293793905E-4</v>
      </c>
      <c r="H245" s="3">
        <f t="shared" si="26"/>
        <v>-1.0467980295566393E-2</v>
      </c>
      <c r="I245" s="3">
        <f t="shared" si="27"/>
        <v>1.0372846193742458E-3</v>
      </c>
      <c r="J245" s="17">
        <v>-1.56</v>
      </c>
      <c r="K245" s="12">
        <v>0.05</v>
      </c>
      <c r="L245" s="12">
        <v>0.15</v>
      </c>
      <c r="M245" s="21">
        <v>0.01</v>
      </c>
      <c r="N245" s="20">
        <f t="shared" si="28"/>
        <v>-5.0803542144965876E-3</v>
      </c>
      <c r="O245" s="20">
        <f t="shared" si="29"/>
        <v>-2.0467980295566394E-2</v>
      </c>
      <c r="P245" s="20">
        <f t="shared" si="30"/>
        <v>-1.0852079072937939E-2</v>
      </c>
      <c r="Q245" s="20">
        <f t="shared" si="31"/>
        <v>-8.9627153806257544E-3</v>
      </c>
    </row>
    <row r="246" spans="1:17" x14ac:dyDescent="0.2">
      <c r="A246" s="1">
        <v>44916</v>
      </c>
      <c r="B246">
        <v>123.93</v>
      </c>
      <c r="C246">
        <v>59.58</v>
      </c>
      <c r="D246">
        <v>16.489999999999998</v>
      </c>
      <c r="E246" s="2">
        <v>3878.44</v>
      </c>
      <c r="F246" s="3">
        <f t="shared" si="24"/>
        <v>1.1178198433420494E-2</v>
      </c>
      <c r="G246" s="3">
        <f t="shared" si="25"/>
        <v>1.6203308886235668E-2</v>
      </c>
      <c r="H246" s="3">
        <f t="shared" si="26"/>
        <v>2.6135656502800142E-2</v>
      </c>
      <c r="I246" s="3">
        <f t="shared" si="27"/>
        <v>1.4868040255179737E-2</v>
      </c>
      <c r="J246" s="12">
        <v>0.57999999999999996</v>
      </c>
      <c r="K246" s="12">
        <v>0.06</v>
      </c>
      <c r="L246" s="13">
        <v>-0.47</v>
      </c>
      <c r="M246" s="21">
        <v>0.01</v>
      </c>
      <c r="N246" s="20">
        <f t="shared" si="28"/>
        <v>1.178198433420494E-3</v>
      </c>
      <c r="O246" s="20">
        <f t="shared" si="29"/>
        <v>1.613565650280014E-2</v>
      </c>
      <c r="P246" s="20">
        <f t="shared" si="30"/>
        <v>6.2033088862356676E-3</v>
      </c>
      <c r="Q246" s="20">
        <f t="shared" si="31"/>
        <v>4.8680402551797373E-3</v>
      </c>
    </row>
    <row r="247" spans="1:17" x14ac:dyDescent="0.2">
      <c r="A247" s="1">
        <v>44917</v>
      </c>
      <c r="B247">
        <v>122.53</v>
      </c>
      <c r="C247">
        <v>59.15</v>
      </c>
      <c r="D247">
        <v>15.33</v>
      </c>
      <c r="E247" s="2">
        <v>3822.39</v>
      </c>
      <c r="F247" s="3">
        <f t="shared" si="24"/>
        <v>-1.1296699749858807E-2</v>
      </c>
      <c r="G247" s="3">
        <f t="shared" si="25"/>
        <v>-7.2171869754951157E-3</v>
      </c>
      <c r="H247" s="3">
        <f t="shared" si="26"/>
        <v>-7.0345664038811262E-2</v>
      </c>
      <c r="I247" s="3">
        <f t="shared" si="27"/>
        <v>-1.4451686760656446E-2</v>
      </c>
      <c r="J247" s="13">
        <v>-0.38</v>
      </c>
      <c r="K247" s="12">
        <v>0.09</v>
      </c>
      <c r="L247" s="12">
        <v>0.17</v>
      </c>
      <c r="M247" s="21">
        <v>0.01</v>
      </c>
      <c r="N247" s="20">
        <f t="shared" si="28"/>
        <v>-2.1296699749858809E-2</v>
      </c>
      <c r="O247" s="20">
        <f t="shared" si="29"/>
        <v>-8.0345664038811257E-2</v>
      </c>
      <c r="P247" s="20">
        <f t="shared" si="30"/>
        <v>-1.7217186975495118E-2</v>
      </c>
      <c r="Q247" s="20">
        <f t="shared" si="31"/>
        <v>-2.4451686760656448E-2</v>
      </c>
    </row>
    <row r="248" spans="1:17" x14ac:dyDescent="0.2">
      <c r="A248" s="1">
        <v>44918</v>
      </c>
      <c r="B248">
        <v>123.11</v>
      </c>
      <c r="C248">
        <v>59.59</v>
      </c>
      <c r="D248">
        <v>15.19</v>
      </c>
      <c r="E248" s="2">
        <v>3844.82</v>
      </c>
      <c r="F248" s="3">
        <f t="shared" si="24"/>
        <v>4.7335346445769311E-3</v>
      </c>
      <c r="G248" s="3">
        <f t="shared" si="25"/>
        <v>7.4387151310228994E-3</v>
      </c>
      <c r="H248" s="3">
        <f t="shared" si="26"/>
        <v>-9.1324200913242004E-3</v>
      </c>
      <c r="I248" s="3">
        <f t="shared" si="27"/>
        <v>5.8680563731070556E-3</v>
      </c>
      <c r="J248" s="17">
        <v>-1.1100000000000001</v>
      </c>
      <c r="K248" s="12">
        <v>0.14000000000000001</v>
      </c>
      <c r="L248" s="13">
        <v>-0.28000000000000003</v>
      </c>
      <c r="M248" s="21">
        <v>0.01</v>
      </c>
      <c r="N248" s="20">
        <f t="shared" si="28"/>
        <v>-5.2664653554230691E-3</v>
      </c>
      <c r="O248" s="20">
        <f t="shared" si="29"/>
        <v>-1.9132420091324202E-2</v>
      </c>
      <c r="P248" s="20">
        <f t="shared" si="30"/>
        <v>-2.5612848689771008E-3</v>
      </c>
      <c r="Q248" s="20">
        <f t="shared" si="31"/>
        <v>-4.1319436268929446E-3</v>
      </c>
    </row>
    <row r="249" spans="1:17" x14ac:dyDescent="0.2">
      <c r="A249" s="1">
        <v>44922</v>
      </c>
      <c r="B249">
        <v>123.54</v>
      </c>
      <c r="C249">
        <v>59.96</v>
      </c>
      <c r="D249">
        <v>14.11</v>
      </c>
      <c r="E249" s="2">
        <v>3829.25</v>
      </c>
      <c r="F249" s="3">
        <f t="shared" si="24"/>
        <v>3.4928113069612188E-3</v>
      </c>
      <c r="G249" s="3">
        <f t="shared" si="25"/>
        <v>6.2090954858198266E-3</v>
      </c>
      <c r="H249" s="3">
        <f t="shared" si="26"/>
        <v>-7.1099407504937484E-2</v>
      </c>
      <c r="I249" s="3">
        <f t="shared" si="27"/>
        <v>-4.0496044028068834E-3</v>
      </c>
      <c r="J249" s="12">
        <v>0.48</v>
      </c>
      <c r="K249" s="12">
        <v>0.03</v>
      </c>
      <c r="L249" s="13">
        <v>-0.24</v>
      </c>
      <c r="M249" s="21">
        <v>0.01</v>
      </c>
      <c r="N249" s="20">
        <f t="shared" si="28"/>
        <v>-6.5071886930387814E-3</v>
      </c>
      <c r="O249" s="20">
        <f t="shared" si="29"/>
        <v>-8.1099407504937479E-2</v>
      </c>
      <c r="P249" s="20">
        <f t="shared" si="30"/>
        <v>-3.7909045141801736E-3</v>
      </c>
      <c r="Q249" s="20">
        <f t="shared" si="31"/>
        <v>-1.4049604402806884E-2</v>
      </c>
    </row>
    <row r="250" spans="1:17" x14ac:dyDescent="0.2">
      <c r="A250" s="1">
        <v>44923</v>
      </c>
      <c r="B250">
        <v>124.22</v>
      </c>
      <c r="C250">
        <v>59.36</v>
      </c>
      <c r="D250">
        <v>14.02</v>
      </c>
      <c r="E250" s="2">
        <v>3783.22</v>
      </c>
      <c r="F250" s="3">
        <f t="shared" si="24"/>
        <v>5.5042901084667584E-3</v>
      </c>
      <c r="G250" s="3">
        <f t="shared" si="25"/>
        <v>-1.0006671114076049E-2</v>
      </c>
      <c r="H250" s="3">
        <f t="shared" si="26"/>
        <v>-6.3784549964563952E-3</v>
      </c>
      <c r="I250" s="3">
        <f t="shared" si="27"/>
        <v>-1.202063067180259E-2</v>
      </c>
      <c r="J250" s="13">
        <v>-0.01</v>
      </c>
      <c r="K250" s="12">
        <v>0.21</v>
      </c>
      <c r="L250" s="13">
        <v>-0.09</v>
      </c>
      <c r="M250" s="21">
        <v>0.01</v>
      </c>
      <c r="N250" s="20">
        <f t="shared" si="28"/>
        <v>-4.4957098915332418E-3</v>
      </c>
      <c r="O250" s="20">
        <f t="shared" si="29"/>
        <v>-1.6378454996456397E-2</v>
      </c>
      <c r="P250" s="20">
        <f t="shared" si="30"/>
        <v>-2.0006671114076051E-2</v>
      </c>
      <c r="Q250" s="20">
        <f t="shared" si="31"/>
        <v>-2.2020630671802592E-2</v>
      </c>
    </row>
    <row r="251" spans="1:17" x14ac:dyDescent="0.2">
      <c r="A251" s="1">
        <v>44924</v>
      </c>
      <c r="B251">
        <v>124.93</v>
      </c>
      <c r="C251">
        <v>59.72</v>
      </c>
      <c r="D251">
        <v>14.59</v>
      </c>
      <c r="E251" s="2">
        <v>3849.28</v>
      </c>
      <c r="F251" s="3">
        <f t="shared" si="24"/>
        <v>5.7156657543069311E-3</v>
      </c>
      <c r="G251" s="3">
        <f t="shared" si="25"/>
        <v>6.0646900269540893E-3</v>
      </c>
      <c r="H251" s="3">
        <f t="shared" si="26"/>
        <v>4.0656205420827485E-2</v>
      </c>
      <c r="I251" s="3">
        <f t="shared" si="27"/>
        <v>1.7461316021801565E-2</v>
      </c>
      <c r="J251" s="12">
        <v>0.27</v>
      </c>
      <c r="K251" s="12">
        <v>0.22</v>
      </c>
      <c r="L251" s="12">
        <v>0.47</v>
      </c>
      <c r="M251" s="20">
        <v>1.2E-2</v>
      </c>
      <c r="N251" s="20">
        <f t="shared" si="28"/>
        <v>-6.2843342456930691E-3</v>
      </c>
      <c r="O251" s="20">
        <f t="shared" si="29"/>
        <v>2.8656205420827485E-2</v>
      </c>
      <c r="P251" s="20">
        <f t="shared" si="30"/>
        <v>-5.9353099730459109E-3</v>
      </c>
      <c r="Q251" s="20">
        <f t="shared" si="31"/>
        <v>5.4613160218015648E-3</v>
      </c>
    </row>
    <row r="252" spans="1:17" x14ac:dyDescent="0.2">
      <c r="A252" s="1">
        <v>44925</v>
      </c>
      <c r="B252">
        <v>125.75</v>
      </c>
      <c r="C252">
        <v>59.4</v>
      </c>
      <c r="D252">
        <v>14.6</v>
      </c>
      <c r="E252" s="2">
        <v>3839.5</v>
      </c>
      <c r="F252" s="3">
        <f t="shared" si="24"/>
        <v>6.5636756583686839E-3</v>
      </c>
      <c r="G252" s="3">
        <f t="shared" si="25"/>
        <v>-5.3583389149364224E-3</v>
      </c>
      <c r="H252" s="3">
        <f t="shared" si="26"/>
        <v>6.8540095956137748E-4</v>
      </c>
      <c r="I252" s="3">
        <f t="shared" si="27"/>
        <v>-2.5407348906808513E-3</v>
      </c>
      <c r="J252" s="12">
        <v>0.74</v>
      </c>
      <c r="K252" s="12">
        <v>0.02</v>
      </c>
      <c r="L252" s="13">
        <v>-0.65</v>
      </c>
      <c r="M252" s="20">
        <v>1.2E-2</v>
      </c>
      <c r="N252" s="20">
        <f t="shared" si="28"/>
        <v>-5.4363243416313163E-3</v>
      </c>
      <c r="O252" s="20">
        <f t="shared" si="29"/>
        <v>-1.1314599040438623E-2</v>
      </c>
      <c r="P252" s="20">
        <f t="shared" si="30"/>
        <v>-1.7358338914936423E-2</v>
      </c>
      <c r="Q252" s="20">
        <f t="shared" si="31"/>
        <v>-1.4540734890680852E-2</v>
      </c>
    </row>
    <row r="253" spans="1:17" x14ac:dyDescent="0.2">
      <c r="A253" s="1">
        <v>44929</v>
      </c>
      <c r="B253">
        <v>126.71</v>
      </c>
      <c r="C253">
        <v>58.78</v>
      </c>
      <c r="D253">
        <v>14.3</v>
      </c>
      <c r="E253" s="2">
        <v>3824.14</v>
      </c>
      <c r="F253" s="3">
        <f t="shared" si="24"/>
        <v>7.6341948310139074E-3</v>
      </c>
      <c r="G253" s="3">
        <f t="shared" si="25"/>
        <v>-1.0437710437710357E-2</v>
      </c>
      <c r="H253" s="3">
        <f t="shared" si="26"/>
        <v>-2.0547945205479423E-2</v>
      </c>
      <c r="I253" s="3">
        <f t="shared" si="27"/>
        <v>-4.0005209011589882E-3</v>
      </c>
      <c r="J253" s="12">
        <v>0.78</v>
      </c>
      <c r="K253" s="13">
        <v>-0.15</v>
      </c>
      <c r="L253" s="12">
        <v>0.12</v>
      </c>
      <c r="M253" s="20">
        <v>1.2E-2</v>
      </c>
      <c r="N253" s="20">
        <f t="shared" si="28"/>
        <v>-4.3658051689860929E-3</v>
      </c>
      <c r="O253" s="20">
        <f t="shared" si="29"/>
        <v>-3.254794520547942E-2</v>
      </c>
      <c r="P253" s="20">
        <f t="shared" si="30"/>
        <v>-2.2437710437710357E-2</v>
      </c>
      <c r="Q253" s="20">
        <f t="shared" si="31"/>
        <v>-1.6000520901158988E-2</v>
      </c>
    </row>
    <row r="254" spans="1:17" x14ac:dyDescent="0.2">
      <c r="A254" s="1">
        <v>44930</v>
      </c>
      <c r="B254">
        <v>127.89</v>
      </c>
      <c r="C254">
        <v>58.75</v>
      </c>
      <c r="D254">
        <v>14.74</v>
      </c>
      <c r="E254" s="2">
        <v>3852.97</v>
      </c>
      <c r="F254" s="3">
        <f t="shared" si="24"/>
        <v>9.312603582984913E-3</v>
      </c>
      <c r="G254" s="3">
        <f t="shared" si="25"/>
        <v>-5.1037767948280965E-4</v>
      </c>
      <c r="H254" s="3">
        <f t="shared" si="26"/>
        <v>3.076923076923066E-2</v>
      </c>
      <c r="I254" s="3">
        <f t="shared" si="27"/>
        <v>7.5389499338414101E-3</v>
      </c>
      <c r="J254" s="11">
        <v>0.3</v>
      </c>
      <c r="K254" s="12">
        <v>0.32</v>
      </c>
      <c r="L254" s="13">
        <v>-0.31</v>
      </c>
      <c r="M254" s="20">
        <v>1.2E-2</v>
      </c>
      <c r="N254" s="20">
        <f t="shared" si="28"/>
        <v>-2.6873964170150873E-3</v>
      </c>
      <c r="O254" s="20">
        <f t="shared" si="29"/>
        <v>1.876923076923066E-2</v>
      </c>
      <c r="P254" s="20">
        <f t="shared" si="30"/>
        <v>-1.251037767948281E-2</v>
      </c>
      <c r="Q254" s="20">
        <f t="shared" si="31"/>
        <v>-4.4610500661585901E-3</v>
      </c>
    </row>
    <row r="255" spans="1:17" x14ac:dyDescent="0.2">
      <c r="A255" s="1">
        <v>44931</v>
      </c>
      <c r="B255">
        <v>127.86</v>
      </c>
      <c r="C255">
        <v>58.08</v>
      </c>
      <c r="D255">
        <v>14.25</v>
      </c>
      <c r="E255" s="2">
        <v>3808.1</v>
      </c>
      <c r="F255" s="3">
        <f t="shared" si="24"/>
        <v>-2.3457658925640779E-4</v>
      </c>
      <c r="G255" s="3">
        <f t="shared" si="25"/>
        <v>-1.1404255319149015E-2</v>
      </c>
      <c r="H255" s="3">
        <f t="shared" si="26"/>
        <v>-3.3242876526458631E-2</v>
      </c>
      <c r="I255" s="3">
        <f t="shared" si="27"/>
        <v>-1.164556173549236E-2</v>
      </c>
      <c r="J255" s="12">
        <v>0.28000000000000003</v>
      </c>
      <c r="K255" s="13">
        <v>-0.12</v>
      </c>
      <c r="L255" s="12">
        <v>0.85</v>
      </c>
      <c r="M255" s="20">
        <v>1.2E-2</v>
      </c>
      <c r="N255" s="20">
        <f t="shared" si="28"/>
        <v>-1.2234576589256408E-2</v>
      </c>
      <c r="O255" s="20">
        <f t="shared" si="29"/>
        <v>-4.5242876526458628E-2</v>
      </c>
      <c r="P255" s="20">
        <f t="shared" si="30"/>
        <v>-2.3404255319149015E-2</v>
      </c>
      <c r="Q255" s="20">
        <f t="shared" si="31"/>
        <v>-2.364556173549236E-2</v>
      </c>
    </row>
    <row r="256" spans="1:17" x14ac:dyDescent="0.2">
      <c r="A256" s="1">
        <v>44932</v>
      </c>
      <c r="B256">
        <v>130.31</v>
      </c>
      <c r="C256">
        <v>59.2</v>
      </c>
      <c r="D256">
        <v>14.85</v>
      </c>
      <c r="E256" s="2">
        <v>3895.08</v>
      </c>
      <c r="F256" s="3">
        <f t="shared" si="24"/>
        <v>1.9161582981385816E-2</v>
      </c>
      <c r="G256" s="3">
        <f t="shared" si="25"/>
        <v>1.9283746556473913E-2</v>
      </c>
      <c r="H256" s="3">
        <f t="shared" si="26"/>
        <v>4.2105263157894646E-2</v>
      </c>
      <c r="I256" s="3">
        <f t="shared" si="27"/>
        <v>2.284078674404566E-2</v>
      </c>
      <c r="J256" s="12">
        <v>0.28000000000000003</v>
      </c>
      <c r="K256" s="12">
        <v>0.25</v>
      </c>
      <c r="L256" s="13">
        <v>-0.44</v>
      </c>
      <c r="M256" s="20">
        <v>1.2E-2</v>
      </c>
      <c r="N256" s="20">
        <f t="shared" si="28"/>
        <v>7.161582981385816E-3</v>
      </c>
      <c r="O256" s="20">
        <f t="shared" si="29"/>
        <v>3.0105263157894645E-2</v>
      </c>
      <c r="P256" s="20">
        <f t="shared" si="30"/>
        <v>7.2837465564739128E-3</v>
      </c>
      <c r="Q256" s="20">
        <f t="shared" si="31"/>
        <v>1.084078674404566E-2</v>
      </c>
    </row>
    <row r="257" spans="1:17" x14ac:dyDescent="0.2">
      <c r="A257" s="1">
        <v>44935</v>
      </c>
      <c r="B257">
        <v>129.77000000000001</v>
      </c>
      <c r="C257">
        <v>58.46</v>
      </c>
      <c r="D257">
        <v>15.62</v>
      </c>
      <c r="E257" s="2">
        <v>3892.09</v>
      </c>
      <c r="F257" s="3">
        <f t="shared" si="24"/>
        <v>-4.1439643926022285E-3</v>
      </c>
      <c r="G257" s="3">
        <f t="shared" si="25"/>
        <v>-1.2500000000000067E-2</v>
      </c>
      <c r="H257" s="3">
        <f t="shared" si="26"/>
        <v>5.1851851851851816E-2</v>
      </c>
      <c r="I257" s="3">
        <f t="shared" si="27"/>
        <v>-7.6763506782906443E-4</v>
      </c>
      <c r="J257" s="11">
        <v>0.2</v>
      </c>
      <c r="K257" s="12">
        <v>0.08</v>
      </c>
      <c r="L257" s="12">
        <v>0.39</v>
      </c>
      <c r="M257" s="20">
        <v>1.2E-2</v>
      </c>
      <c r="N257" s="20">
        <f t="shared" si="28"/>
        <v>-1.6143964392602229E-2</v>
      </c>
      <c r="O257" s="20">
        <f t="shared" si="29"/>
        <v>3.9851851851851819E-2</v>
      </c>
      <c r="P257" s="20">
        <f t="shared" si="30"/>
        <v>-2.4500000000000067E-2</v>
      </c>
      <c r="Q257" s="20">
        <f t="shared" si="31"/>
        <v>-1.2767635067829065E-2</v>
      </c>
    </row>
    <row r="258" spans="1:17" x14ac:dyDescent="0.2">
      <c r="A258" s="1">
        <v>44936</v>
      </c>
      <c r="B258">
        <v>130.93</v>
      </c>
      <c r="C258">
        <v>58.02</v>
      </c>
      <c r="D258">
        <v>15.9</v>
      </c>
      <c r="E258" s="2">
        <v>3919.25</v>
      </c>
      <c r="F258" s="3">
        <f t="shared" si="24"/>
        <v>8.9388918856438959E-3</v>
      </c>
      <c r="G258" s="3">
        <f t="shared" si="25"/>
        <v>-7.5265138556277478E-3</v>
      </c>
      <c r="H258" s="3">
        <f t="shared" si="26"/>
        <v>1.7925736235595569E-2</v>
      </c>
      <c r="I258" s="3">
        <f t="shared" si="27"/>
        <v>6.9782558985018728E-3</v>
      </c>
      <c r="J258" s="13">
        <v>-7.0000000000000007E-2</v>
      </c>
      <c r="K258" s="13">
        <v>-0.11</v>
      </c>
      <c r="L258" s="12">
        <v>0.12</v>
      </c>
      <c r="M258" s="20">
        <v>1.2E-2</v>
      </c>
      <c r="N258" s="20">
        <f t="shared" si="28"/>
        <v>-3.0611081143561043E-3</v>
      </c>
      <c r="O258" s="20">
        <f t="shared" si="29"/>
        <v>5.9257362355955683E-3</v>
      </c>
      <c r="P258" s="20">
        <f t="shared" si="30"/>
        <v>-1.9526513855627748E-2</v>
      </c>
      <c r="Q258" s="20">
        <f t="shared" si="31"/>
        <v>-5.0217441014981275E-3</v>
      </c>
    </row>
    <row r="259" spans="1:17" x14ac:dyDescent="0.2">
      <c r="A259" s="1">
        <v>44937</v>
      </c>
      <c r="B259">
        <v>131.91</v>
      </c>
      <c r="C259">
        <v>57.9</v>
      </c>
      <c r="D259">
        <v>15.99</v>
      </c>
      <c r="E259" s="2">
        <v>3969.61</v>
      </c>
      <c r="F259" s="3">
        <f t="shared" si="24"/>
        <v>7.4849156037577469E-3</v>
      </c>
      <c r="G259" s="3">
        <f t="shared" si="25"/>
        <v>-2.0682523267839814E-3</v>
      </c>
      <c r="H259" s="3">
        <f t="shared" si="26"/>
        <v>5.6603773584904538E-3</v>
      </c>
      <c r="I259" s="3">
        <f t="shared" si="27"/>
        <v>1.2849397206098123E-2</v>
      </c>
      <c r="J259" s="13">
        <v>-0.14000000000000001</v>
      </c>
      <c r="K259" s="13">
        <v>-0.04</v>
      </c>
      <c r="L259" s="12">
        <v>0.05</v>
      </c>
      <c r="M259" s="20">
        <v>1.2E-2</v>
      </c>
      <c r="N259" s="20">
        <f t="shared" si="28"/>
        <v>-4.5150843962422534E-3</v>
      </c>
      <c r="O259" s="20">
        <f t="shared" si="29"/>
        <v>-6.3396226415095465E-3</v>
      </c>
      <c r="P259" s="20">
        <f t="shared" si="30"/>
        <v>-1.4068252326783982E-2</v>
      </c>
      <c r="Q259" s="20">
        <f t="shared" si="31"/>
        <v>8.4939720609812294E-4</v>
      </c>
    </row>
    <row r="260" spans="1:17" x14ac:dyDescent="0.2">
      <c r="A260" s="1">
        <v>44938</v>
      </c>
      <c r="B260">
        <v>131.77000000000001</v>
      </c>
      <c r="C260">
        <v>57.16</v>
      </c>
      <c r="D260">
        <v>16.5</v>
      </c>
      <c r="E260" s="2">
        <v>3983.17</v>
      </c>
      <c r="F260" s="3">
        <f t="shared" ref="F260:F323" si="32">(B260/B259)-1</f>
        <v>-1.0613296944885775E-3</v>
      </c>
      <c r="G260" s="3">
        <f t="shared" ref="G260:G323" si="33">(C260/C259)-1</f>
        <v>-1.2780656303972404E-2</v>
      </c>
      <c r="H260" s="3">
        <f t="shared" ref="H260:H323" si="34">(D260/D259)-1</f>
        <v>3.1894934333958735E-2</v>
      </c>
      <c r="I260" s="3">
        <f t="shared" ref="I260:I323" si="35">(E260/E259)-1</f>
        <v>3.41595270064321E-3</v>
      </c>
      <c r="J260" s="13">
        <v>-0.11</v>
      </c>
      <c r="K260" s="13">
        <v>-0.33</v>
      </c>
      <c r="L260" s="12">
        <v>0.37</v>
      </c>
      <c r="M260" s="20">
        <v>1.2E-2</v>
      </c>
      <c r="N260" s="20">
        <f t="shared" ref="N260:N323" si="36">F260-M260</f>
        <v>-1.3061329694488578E-2</v>
      </c>
      <c r="O260" s="20">
        <f t="shared" ref="O260:O323" si="37">H260-M260</f>
        <v>1.9894934333958735E-2</v>
      </c>
      <c r="P260" s="20">
        <f t="shared" ref="P260:P323" si="38">G260-M260</f>
        <v>-2.4780656303972404E-2</v>
      </c>
      <c r="Q260" s="20">
        <f t="shared" ref="Q260:Q323" si="39">I260-M260</f>
        <v>-8.5840472993567903E-3</v>
      </c>
    </row>
    <row r="261" spans="1:17" x14ac:dyDescent="0.2">
      <c r="A261" s="1">
        <v>44939</v>
      </c>
      <c r="B261">
        <v>135.1</v>
      </c>
      <c r="C261">
        <v>57.36</v>
      </c>
      <c r="D261">
        <v>16.89</v>
      </c>
      <c r="E261" s="2">
        <v>3999.09</v>
      </c>
      <c r="F261" s="3">
        <f t="shared" si="32"/>
        <v>2.5271306063595622E-2</v>
      </c>
      <c r="G261" s="3">
        <f t="shared" si="33"/>
        <v>3.4989503149056578E-3</v>
      </c>
      <c r="H261" s="3">
        <f t="shared" si="34"/>
        <v>2.3636363636363678E-2</v>
      </c>
      <c r="I261" s="3">
        <f t="shared" si="35"/>
        <v>3.9968166058692578E-3</v>
      </c>
      <c r="J261" s="12">
        <v>0.49</v>
      </c>
      <c r="K261" s="13">
        <v>-0.09</v>
      </c>
      <c r="L261" s="13">
        <v>-0.27</v>
      </c>
      <c r="M261" s="20">
        <v>1.2E-2</v>
      </c>
      <c r="N261" s="20">
        <f t="shared" si="36"/>
        <v>1.3271306063595622E-2</v>
      </c>
      <c r="O261" s="20">
        <f t="shared" si="37"/>
        <v>1.1636363636363677E-2</v>
      </c>
      <c r="P261" s="20">
        <f t="shared" si="38"/>
        <v>-8.5010496850943425E-3</v>
      </c>
      <c r="Q261" s="20">
        <f t="shared" si="39"/>
        <v>-8.0031833941307425E-3</v>
      </c>
    </row>
    <row r="262" spans="1:17" x14ac:dyDescent="0.2">
      <c r="A262" s="1">
        <v>44943</v>
      </c>
      <c r="B262">
        <v>133.01</v>
      </c>
      <c r="C262">
        <v>57.6</v>
      </c>
      <c r="D262">
        <v>17.690000000000001</v>
      </c>
      <c r="E262" s="2">
        <v>3990.97</v>
      </c>
      <c r="F262" s="3">
        <f t="shared" si="32"/>
        <v>-1.5470022205773537E-2</v>
      </c>
      <c r="G262" s="3">
        <f t="shared" si="33"/>
        <v>4.1841004184099972E-3</v>
      </c>
      <c r="H262" s="3">
        <f t="shared" si="34"/>
        <v>4.7365304914150475E-2</v>
      </c>
      <c r="I262" s="3">
        <f t="shared" si="35"/>
        <v>-2.0304619300891558E-3</v>
      </c>
      <c r="J262" s="12">
        <v>0.02</v>
      </c>
      <c r="K262" s="12">
        <v>0.28999999999999998</v>
      </c>
      <c r="L262" s="12">
        <v>0.03</v>
      </c>
      <c r="M262" s="20">
        <v>1.2E-2</v>
      </c>
      <c r="N262" s="20">
        <f t="shared" si="36"/>
        <v>-2.7470022205773537E-2</v>
      </c>
      <c r="O262" s="20">
        <f t="shared" si="37"/>
        <v>3.5365304914150478E-2</v>
      </c>
      <c r="P262" s="20">
        <f t="shared" si="38"/>
        <v>-7.815899581590003E-3</v>
      </c>
      <c r="Q262" s="20">
        <f t="shared" si="39"/>
        <v>-1.4030461930089156E-2</v>
      </c>
    </row>
    <row r="263" spans="1:17" x14ac:dyDescent="0.2">
      <c r="A263" s="1">
        <v>44944</v>
      </c>
      <c r="B263">
        <v>129.02000000000001</v>
      </c>
      <c r="C263">
        <v>55.85</v>
      </c>
      <c r="D263">
        <v>17.36</v>
      </c>
      <c r="E263" s="2">
        <v>3928.86</v>
      </c>
      <c r="F263" s="3">
        <f t="shared" si="32"/>
        <v>-2.9997744530486314E-2</v>
      </c>
      <c r="G263" s="3">
        <f t="shared" si="33"/>
        <v>-3.038194444444442E-2</v>
      </c>
      <c r="H263" s="3">
        <f t="shared" si="34"/>
        <v>-1.865460712266831E-2</v>
      </c>
      <c r="I263" s="3">
        <f t="shared" si="35"/>
        <v>-1.5562632643191909E-2</v>
      </c>
      <c r="J263" s="13">
        <v>-0.72</v>
      </c>
      <c r="K263" s="12">
        <v>0.52</v>
      </c>
      <c r="L263" s="13">
        <v>-0.16</v>
      </c>
      <c r="M263" s="20">
        <v>1.2E-2</v>
      </c>
      <c r="N263" s="20">
        <f t="shared" si="36"/>
        <v>-4.1997744530486311E-2</v>
      </c>
      <c r="O263" s="20">
        <f t="shared" si="37"/>
        <v>-3.065460712266831E-2</v>
      </c>
      <c r="P263" s="20">
        <f t="shared" si="38"/>
        <v>-4.2381944444444417E-2</v>
      </c>
      <c r="Q263" s="20">
        <f t="shared" si="39"/>
        <v>-2.756263264319191E-2</v>
      </c>
    </row>
    <row r="264" spans="1:17" x14ac:dyDescent="0.2">
      <c r="A264" s="1">
        <v>44945</v>
      </c>
      <c r="B264">
        <v>127.3</v>
      </c>
      <c r="C264">
        <v>55.77</v>
      </c>
      <c r="D264">
        <v>16.75</v>
      </c>
      <c r="E264" s="2">
        <v>3898.85</v>
      </c>
      <c r="F264" s="3">
        <f t="shared" si="32"/>
        <v>-1.3331266470314795E-2</v>
      </c>
      <c r="G264" s="3">
        <f t="shared" si="33"/>
        <v>-1.4324082363473822E-3</v>
      </c>
      <c r="H264" s="3">
        <f t="shared" si="34"/>
        <v>-3.5138248847926268E-2</v>
      </c>
      <c r="I264" s="3">
        <f t="shared" si="35"/>
        <v>-7.6383480195273412E-3</v>
      </c>
      <c r="J264" s="12">
        <v>0.47</v>
      </c>
      <c r="K264" s="12">
        <v>0.05</v>
      </c>
      <c r="L264" s="12">
        <v>0.26</v>
      </c>
      <c r="M264" s="20">
        <v>1.2E-2</v>
      </c>
      <c r="N264" s="20">
        <f t="shared" si="36"/>
        <v>-2.5331266470314796E-2</v>
      </c>
      <c r="O264" s="20">
        <f t="shared" si="37"/>
        <v>-4.7138248847926265E-2</v>
      </c>
      <c r="P264" s="20">
        <f t="shared" si="38"/>
        <v>-1.3432408236347382E-2</v>
      </c>
      <c r="Q264" s="20">
        <f t="shared" si="39"/>
        <v>-1.9638348019527341E-2</v>
      </c>
    </row>
    <row r="265" spans="1:17" x14ac:dyDescent="0.2">
      <c r="A265" s="1">
        <v>44946</v>
      </c>
      <c r="B265">
        <v>127.61</v>
      </c>
      <c r="C265">
        <v>56.1</v>
      </c>
      <c r="D265">
        <v>17.82</v>
      </c>
      <c r="E265" s="2">
        <v>3972.61</v>
      </c>
      <c r="F265" s="3">
        <f t="shared" si="32"/>
        <v>2.4351924587588947E-3</v>
      </c>
      <c r="G265" s="3">
        <f t="shared" si="33"/>
        <v>5.9171597633136397E-3</v>
      </c>
      <c r="H265" s="3">
        <f t="shared" si="34"/>
        <v>6.3880597014925433E-2</v>
      </c>
      <c r="I265" s="3">
        <f t="shared" si="35"/>
        <v>1.8918399015094289E-2</v>
      </c>
      <c r="J265" s="12">
        <v>0.51</v>
      </c>
      <c r="K265" s="13">
        <v>-0.56999999999999995</v>
      </c>
      <c r="L265" s="12">
        <v>0.02</v>
      </c>
      <c r="M265" s="20">
        <v>1.2E-2</v>
      </c>
      <c r="N265" s="20">
        <f t="shared" si="36"/>
        <v>-9.5648075412411056E-3</v>
      </c>
      <c r="O265" s="20">
        <f t="shared" si="37"/>
        <v>5.1880597014925436E-2</v>
      </c>
      <c r="P265" s="20">
        <f t="shared" si="38"/>
        <v>-6.0828402366863606E-3</v>
      </c>
      <c r="Q265" s="20">
        <f t="shared" si="39"/>
        <v>6.9183990150942891E-3</v>
      </c>
    </row>
    <row r="266" spans="1:17" x14ac:dyDescent="0.2">
      <c r="A266" s="1">
        <v>44949</v>
      </c>
      <c r="B266">
        <v>129.68</v>
      </c>
      <c r="C266">
        <v>56.24</v>
      </c>
      <c r="D266">
        <v>19.18</v>
      </c>
      <c r="E266" s="2">
        <v>4019.81</v>
      </c>
      <c r="F266" s="3">
        <f t="shared" si="32"/>
        <v>1.622129927121696E-2</v>
      </c>
      <c r="G266" s="3">
        <f t="shared" si="33"/>
        <v>2.495543672014211E-3</v>
      </c>
      <c r="H266" s="3">
        <f t="shared" si="34"/>
        <v>7.6318742985409527E-2</v>
      </c>
      <c r="I266" s="3">
        <f t="shared" si="35"/>
        <v>1.1881357596139619E-2</v>
      </c>
      <c r="J266" s="12">
        <v>0.19</v>
      </c>
      <c r="K266" s="13">
        <v>-0.39</v>
      </c>
      <c r="L266" s="13">
        <v>-0.19</v>
      </c>
      <c r="M266" s="20">
        <v>1.2E-2</v>
      </c>
      <c r="N266" s="20">
        <f t="shared" si="36"/>
        <v>4.2212992712169599E-3</v>
      </c>
      <c r="O266" s="20">
        <f t="shared" si="37"/>
        <v>6.431874298540953E-2</v>
      </c>
      <c r="P266" s="20">
        <f t="shared" si="38"/>
        <v>-9.5044563279857892E-3</v>
      </c>
      <c r="Q266" s="20">
        <f t="shared" si="39"/>
        <v>-1.186424038603813E-4</v>
      </c>
    </row>
    <row r="267" spans="1:17" x14ac:dyDescent="0.2">
      <c r="A267" s="1">
        <v>44950</v>
      </c>
      <c r="B267">
        <v>130.79</v>
      </c>
      <c r="C267">
        <v>56.54</v>
      </c>
      <c r="D267">
        <v>19.25</v>
      </c>
      <c r="E267" s="2">
        <v>4016.95</v>
      </c>
      <c r="F267" s="3">
        <f t="shared" si="32"/>
        <v>8.559531153608857E-3</v>
      </c>
      <c r="G267" s="3">
        <f t="shared" si="33"/>
        <v>5.3342816500709933E-3</v>
      </c>
      <c r="H267" s="3">
        <f t="shared" si="34"/>
        <v>3.6496350364962904E-3</v>
      </c>
      <c r="I267" s="3">
        <f t="shared" si="35"/>
        <v>-7.1147641306434917E-4</v>
      </c>
      <c r="J267" s="12">
        <v>0.43</v>
      </c>
      <c r="K267" s="13">
        <v>-0.62</v>
      </c>
      <c r="L267" s="12">
        <v>0.46</v>
      </c>
      <c r="M267" s="20">
        <v>1.2E-2</v>
      </c>
      <c r="N267" s="20">
        <f t="shared" si="36"/>
        <v>-3.4404688463911433E-3</v>
      </c>
      <c r="O267" s="20">
        <f t="shared" si="37"/>
        <v>-8.3503649635037099E-3</v>
      </c>
      <c r="P267" s="20">
        <f t="shared" si="38"/>
        <v>-6.6657183499290069E-3</v>
      </c>
      <c r="Q267" s="20">
        <f t="shared" si="39"/>
        <v>-1.2711476413064349E-2</v>
      </c>
    </row>
    <row r="268" spans="1:17" x14ac:dyDescent="0.2">
      <c r="A268" s="1">
        <v>44951</v>
      </c>
      <c r="B268">
        <v>131.41999999999999</v>
      </c>
      <c r="C268">
        <v>56.9</v>
      </c>
      <c r="D268">
        <v>19.309999999999999</v>
      </c>
      <c r="E268" s="2">
        <v>4016.22</v>
      </c>
      <c r="F268" s="3">
        <f t="shared" si="32"/>
        <v>4.8168820246194954E-3</v>
      </c>
      <c r="G268" s="3">
        <f t="shared" si="33"/>
        <v>6.3671736823487368E-3</v>
      </c>
      <c r="H268" s="3">
        <f t="shared" si="34"/>
        <v>3.1168831168830735E-3</v>
      </c>
      <c r="I268" s="3">
        <f t="shared" si="35"/>
        <v>-1.8172991946630024E-4</v>
      </c>
      <c r="J268" s="12">
        <v>0.22</v>
      </c>
      <c r="K268" s="11">
        <v>0.2</v>
      </c>
      <c r="L268" s="12">
        <v>0.06</v>
      </c>
      <c r="M268" s="20">
        <v>1.2E-2</v>
      </c>
      <c r="N268" s="20">
        <f t="shared" si="36"/>
        <v>-7.1831179753805048E-3</v>
      </c>
      <c r="O268" s="20">
        <f t="shared" si="37"/>
        <v>-8.8831168831169267E-3</v>
      </c>
      <c r="P268" s="20">
        <f t="shared" si="38"/>
        <v>-5.6328263176512634E-3</v>
      </c>
      <c r="Q268" s="20">
        <f t="shared" si="39"/>
        <v>-1.21817299194663E-2</v>
      </c>
    </row>
    <row r="269" spans="1:17" x14ac:dyDescent="0.2">
      <c r="A269" s="1">
        <v>44952</v>
      </c>
      <c r="B269">
        <v>132.24</v>
      </c>
      <c r="C269">
        <v>56.78</v>
      </c>
      <c r="D269">
        <v>19.79</v>
      </c>
      <c r="E269" s="2">
        <v>4060.43</v>
      </c>
      <c r="F269" s="3">
        <f t="shared" si="32"/>
        <v>6.2395373611323635E-3</v>
      </c>
      <c r="G269" s="3">
        <f t="shared" si="33"/>
        <v>-2.1089630931457881E-3</v>
      </c>
      <c r="H269" s="3">
        <f t="shared" si="34"/>
        <v>2.4857586742620397E-2</v>
      </c>
      <c r="I269" s="3">
        <f t="shared" si="35"/>
        <v>1.1007863115068517E-2</v>
      </c>
      <c r="J269" s="12">
        <v>0.15</v>
      </c>
      <c r="K269" s="12">
        <v>0.48</v>
      </c>
      <c r="L269" s="12">
        <v>0.77</v>
      </c>
      <c r="M269" s="20">
        <v>1.2E-2</v>
      </c>
      <c r="N269" s="20">
        <f t="shared" si="36"/>
        <v>-5.7604626388676368E-3</v>
      </c>
      <c r="O269" s="20">
        <f t="shared" si="37"/>
        <v>1.2857586742620396E-2</v>
      </c>
      <c r="P269" s="20">
        <f t="shared" si="38"/>
        <v>-1.4108963093145788E-2</v>
      </c>
      <c r="Q269" s="20">
        <f t="shared" si="39"/>
        <v>-9.9213688493148336E-4</v>
      </c>
    </row>
    <row r="270" spans="1:17" x14ac:dyDescent="0.2">
      <c r="A270" s="1">
        <v>44953</v>
      </c>
      <c r="B270">
        <v>132.56</v>
      </c>
      <c r="C270">
        <v>56.49</v>
      </c>
      <c r="D270">
        <v>20.350000000000001</v>
      </c>
      <c r="E270" s="2">
        <v>4070.56</v>
      </c>
      <c r="F270" s="3">
        <f t="shared" si="32"/>
        <v>2.4198427102237741E-3</v>
      </c>
      <c r="G270" s="3">
        <f t="shared" si="33"/>
        <v>-5.1074321944346579E-3</v>
      </c>
      <c r="H270" s="3">
        <f t="shared" si="34"/>
        <v>2.8297119757453304E-2</v>
      </c>
      <c r="I270" s="3">
        <f t="shared" si="35"/>
        <v>2.4948096630159622E-3</v>
      </c>
      <c r="J270" s="13">
        <v>-0.14000000000000001</v>
      </c>
      <c r="K270" s="12">
        <v>0.32</v>
      </c>
      <c r="L270" s="12">
        <v>0.74</v>
      </c>
      <c r="M270" s="20">
        <v>1.2E-2</v>
      </c>
      <c r="N270" s="20">
        <f t="shared" si="36"/>
        <v>-9.5801572897762262E-3</v>
      </c>
      <c r="O270" s="20">
        <f t="shared" si="37"/>
        <v>1.6297119757453304E-2</v>
      </c>
      <c r="P270" s="20">
        <f t="shared" si="38"/>
        <v>-1.7107432194434658E-2</v>
      </c>
      <c r="Q270" s="20">
        <f t="shared" si="39"/>
        <v>-9.5051903369840381E-3</v>
      </c>
    </row>
    <row r="271" spans="1:17" x14ac:dyDescent="0.2">
      <c r="A271" s="1">
        <v>44956</v>
      </c>
      <c r="B271">
        <v>131.43</v>
      </c>
      <c r="C271">
        <v>56.63</v>
      </c>
      <c r="D271">
        <v>19.149999999999999</v>
      </c>
      <c r="E271" s="2">
        <v>4017.77</v>
      </c>
      <c r="F271" s="3">
        <f t="shared" si="32"/>
        <v>-8.5244417622208912E-3</v>
      </c>
      <c r="G271" s="3">
        <f t="shared" si="33"/>
        <v>2.4783147459728205E-3</v>
      </c>
      <c r="H271" s="3">
        <f t="shared" si="34"/>
        <v>-5.8968058968059123E-2</v>
      </c>
      <c r="I271" s="3">
        <f t="shared" si="35"/>
        <v>-1.2968731575016657E-2</v>
      </c>
      <c r="J271" s="12">
        <v>0.16</v>
      </c>
      <c r="K271" s="12">
        <v>0.71</v>
      </c>
      <c r="L271" s="12">
        <v>0.43</v>
      </c>
      <c r="M271" s="20">
        <v>1.2E-2</v>
      </c>
      <c r="N271" s="20">
        <f t="shared" si="36"/>
        <v>-2.0524441762220891E-2</v>
      </c>
      <c r="O271" s="20">
        <f t="shared" si="37"/>
        <v>-7.096805896805912E-2</v>
      </c>
      <c r="P271" s="20">
        <f t="shared" si="38"/>
        <v>-9.5216852540271797E-3</v>
      </c>
      <c r="Q271" s="20">
        <f t="shared" si="39"/>
        <v>-2.4968731575016657E-2</v>
      </c>
    </row>
    <row r="272" spans="1:17" x14ac:dyDescent="0.2">
      <c r="A272" s="1">
        <v>44957</v>
      </c>
      <c r="B272">
        <v>132.22</v>
      </c>
      <c r="C272">
        <v>57.26</v>
      </c>
      <c r="D272">
        <v>19.52</v>
      </c>
      <c r="E272" s="2">
        <v>4076.6</v>
      </c>
      <c r="F272" s="3">
        <f t="shared" si="32"/>
        <v>6.0108042303887999E-3</v>
      </c>
      <c r="G272" s="3">
        <f t="shared" si="33"/>
        <v>1.1124845488257096E-2</v>
      </c>
      <c r="H272" s="3">
        <f t="shared" si="34"/>
        <v>1.9321148825065304E-2</v>
      </c>
      <c r="I272" s="3">
        <f t="shared" si="35"/>
        <v>1.4642450911824145E-2</v>
      </c>
      <c r="J272" s="12">
        <v>0.11</v>
      </c>
      <c r="K272" s="13">
        <v>-0.04</v>
      </c>
      <c r="L272" s="12">
        <v>0.49</v>
      </c>
      <c r="M272" s="20">
        <v>1.2E-2</v>
      </c>
      <c r="N272" s="20">
        <f t="shared" si="36"/>
        <v>-5.9891957696112004E-3</v>
      </c>
      <c r="O272" s="20">
        <f t="shared" si="37"/>
        <v>7.3211488250653038E-3</v>
      </c>
      <c r="P272" s="20">
        <f t="shared" si="38"/>
        <v>-8.7515451174290451E-4</v>
      </c>
      <c r="Q272" s="20">
        <f t="shared" si="39"/>
        <v>2.642450911824145E-3</v>
      </c>
    </row>
    <row r="273" spans="1:17" x14ac:dyDescent="0.2">
      <c r="A273" s="1">
        <v>44958</v>
      </c>
      <c r="B273">
        <v>131.87</v>
      </c>
      <c r="C273">
        <v>57.27</v>
      </c>
      <c r="D273">
        <v>20.93</v>
      </c>
      <c r="E273" s="2">
        <v>4119.21</v>
      </c>
      <c r="F273" s="3">
        <f t="shared" si="32"/>
        <v>-2.6471033126607146E-3</v>
      </c>
      <c r="G273" s="3">
        <f t="shared" si="33"/>
        <v>1.7464198393302155E-4</v>
      </c>
      <c r="H273" s="3">
        <f t="shared" si="34"/>
        <v>7.2233606557376984E-2</v>
      </c>
      <c r="I273" s="3">
        <f t="shared" si="35"/>
        <v>1.0452337732424155E-2</v>
      </c>
      <c r="J273" s="12">
        <v>0.44</v>
      </c>
      <c r="K273" s="12">
        <v>0.36</v>
      </c>
      <c r="L273" s="13">
        <v>-0.02</v>
      </c>
      <c r="M273" s="20">
        <v>1.2E-2</v>
      </c>
      <c r="N273" s="20">
        <f t="shared" si="36"/>
        <v>-1.4647103312660715E-2</v>
      </c>
      <c r="O273" s="20">
        <f t="shared" si="37"/>
        <v>6.0233606557376987E-2</v>
      </c>
      <c r="P273" s="20">
        <f t="shared" si="38"/>
        <v>-1.1825358016066979E-2</v>
      </c>
      <c r="Q273" s="20">
        <f t="shared" si="39"/>
        <v>-1.5476622675758452E-3</v>
      </c>
    </row>
    <row r="274" spans="1:17" x14ac:dyDescent="0.2">
      <c r="A274" s="1">
        <v>44959</v>
      </c>
      <c r="B274">
        <v>131.25</v>
      </c>
      <c r="C274">
        <v>56.29</v>
      </c>
      <c r="D274">
        <v>21.69</v>
      </c>
      <c r="E274" s="2">
        <v>4179.76</v>
      </c>
      <c r="F274" s="3">
        <f t="shared" si="32"/>
        <v>-4.7016000606658892E-3</v>
      </c>
      <c r="G274" s="3">
        <f t="shared" si="33"/>
        <v>-1.7111925964728547E-2</v>
      </c>
      <c r="H274" s="3">
        <f t="shared" si="34"/>
        <v>3.631151457238424E-2</v>
      </c>
      <c r="I274" s="3">
        <f t="shared" si="35"/>
        <v>1.4699420519954209E-2</v>
      </c>
      <c r="J274" s="12">
        <v>0.12</v>
      </c>
      <c r="K274" s="12">
        <v>0.67</v>
      </c>
      <c r="L274" s="12">
        <v>0.45</v>
      </c>
      <c r="M274" s="20">
        <v>1.2E-2</v>
      </c>
      <c r="N274" s="20">
        <f t="shared" si="36"/>
        <v>-1.6701600060665889E-2</v>
      </c>
      <c r="O274" s="20">
        <f t="shared" si="37"/>
        <v>2.431151457238424E-2</v>
      </c>
      <c r="P274" s="20">
        <f t="shared" si="38"/>
        <v>-2.9111925964728547E-2</v>
      </c>
      <c r="Q274" s="20">
        <f t="shared" si="39"/>
        <v>2.6994205199542091E-3</v>
      </c>
    </row>
    <row r="275" spans="1:17" x14ac:dyDescent="0.2">
      <c r="A275" s="1">
        <v>44960</v>
      </c>
      <c r="B275">
        <v>133.29</v>
      </c>
      <c r="C275">
        <v>55.87</v>
      </c>
      <c r="D275">
        <v>21.08</v>
      </c>
      <c r="E275" s="2">
        <v>4136.4799999999996</v>
      </c>
      <c r="F275" s="3">
        <f t="shared" si="32"/>
        <v>1.5542857142857081E-2</v>
      </c>
      <c r="G275" s="3">
        <f t="shared" si="33"/>
        <v>-7.4613608100906337E-3</v>
      </c>
      <c r="H275" s="3">
        <f t="shared" si="34"/>
        <v>-2.8123559243891316E-2</v>
      </c>
      <c r="I275" s="3">
        <f t="shared" si="35"/>
        <v>-1.0354661511665864E-2</v>
      </c>
      <c r="J275" s="12">
        <v>0.25</v>
      </c>
      <c r="K275" s="13">
        <v>-0.63</v>
      </c>
      <c r="L275" s="12">
        <v>0.42</v>
      </c>
      <c r="M275" s="20">
        <v>1.2E-2</v>
      </c>
      <c r="N275" s="20">
        <f t="shared" si="36"/>
        <v>3.5428571428570803E-3</v>
      </c>
      <c r="O275" s="20">
        <f t="shared" si="37"/>
        <v>-4.0123559243891313E-2</v>
      </c>
      <c r="P275" s="20">
        <f t="shared" si="38"/>
        <v>-1.9461360810090634E-2</v>
      </c>
      <c r="Q275" s="20">
        <f t="shared" si="39"/>
        <v>-2.2354661511665864E-2</v>
      </c>
    </row>
    <row r="276" spans="1:17" x14ac:dyDescent="0.2">
      <c r="A276" s="1">
        <v>44963</v>
      </c>
      <c r="B276">
        <v>134.07</v>
      </c>
      <c r="C276">
        <v>56.19</v>
      </c>
      <c r="D276">
        <v>21.07</v>
      </c>
      <c r="E276" s="2">
        <v>4111.08</v>
      </c>
      <c r="F276" s="3">
        <f t="shared" si="32"/>
        <v>5.8519018681071344E-3</v>
      </c>
      <c r="G276" s="3">
        <f t="shared" si="33"/>
        <v>5.7275818865223371E-3</v>
      </c>
      <c r="H276" s="3">
        <f t="shared" si="34"/>
        <v>-4.743833017076815E-4</v>
      </c>
      <c r="I276" s="3">
        <f t="shared" si="35"/>
        <v>-6.1404865973000433E-3</v>
      </c>
      <c r="J276" s="12">
        <v>0.32</v>
      </c>
      <c r="K276" s="13">
        <v>-0.01</v>
      </c>
      <c r="L276" s="12">
        <v>0.16</v>
      </c>
      <c r="M276" s="21">
        <v>0.01</v>
      </c>
      <c r="N276" s="20">
        <f t="shared" si="36"/>
        <v>-4.1480981318928658E-3</v>
      </c>
      <c r="O276" s="20">
        <f t="shared" si="37"/>
        <v>-1.0474383301707682E-2</v>
      </c>
      <c r="P276" s="20">
        <f t="shared" si="38"/>
        <v>-4.2724181134776631E-3</v>
      </c>
      <c r="Q276" s="20">
        <f t="shared" si="39"/>
        <v>-1.6140486597300045E-2</v>
      </c>
    </row>
    <row r="277" spans="1:17" x14ac:dyDescent="0.2">
      <c r="A277" s="1">
        <v>44964</v>
      </c>
      <c r="B277">
        <v>135.69999999999999</v>
      </c>
      <c r="C277">
        <v>56.09</v>
      </c>
      <c r="D277">
        <v>22.15</v>
      </c>
      <c r="E277" s="2">
        <v>4164</v>
      </c>
      <c r="F277" s="3">
        <f t="shared" si="32"/>
        <v>1.2157828000298299E-2</v>
      </c>
      <c r="G277" s="3">
        <f t="shared" si="33"/>
        <v>-1.7796760989499116E-3</v>
      </c>
      <c r="H277" s="3">
        <f t="shared" si="34"/>
        <v>5.1257712387280385E-2</v>
      </c>
      <c r="I277" s="3">
        <f t="shared" si="35"/>
        <v>1.2872529846171821E-2</v>
      </c>
      <c r="J277" s="12">
        <v>0.08</v>
      </c>
      <c r="K277" s="13">
        <v>-0.11</v>
      </c>
      <c r="L277" s="12">
        <v>0.28999999999999998</v>
      </c>
      <c r="M277" s="21">
        <v>0.01</v>
      </c>
      <c r="N277" s="20">
        <f t="shared" si="36"/>
        <v>2.1578280002982984E-3</v>
      </c>
      <c r="O277" s="20">
        <f t="shared" si="37"/>
        <v>4.1257712387280383E-2</v>
      </c>
      <c r="P277" s="20">
        <f t="shared" si="38"/>
        <v>-1.1779676098949912E-2</v>
      </c>
      <c r="Q277" s="20">
        <f t="shared" si="39"/>
        <v>2.8725298461718205E-3</v>
      </c>
    </row>
    <row r="278" spans="1:17" x14ac:dyDescent="0.2">
      <c r="A278" s="1">
        <v>44965</v>
      </c>
      <c r="B278">
        <v>134.75</v>
      </c>
      <c r="C278">
        <v>55.77</v>
      </c>
      <c r="D278">
        <v>22.19</v>
      </c>
      <c r="E278" s="2">
        <v>4117.8599999999997</v>
      </c>
      <c r="F278" s="3">
        <f t="shared" si="32"/>
        <v>-7.0007369196756208E-3</v>
      </c>
      <c r="G278" s="3">
        <f t="shared" si="33"/>
        <v>-5.7051167766090094E-3</v>
      </c>
      <c r="H278" s="3">
        <f t="shared" si="34"/>
        <v>1.8058690744922057E-3</v>
      </c>
      <c r="I278" s="3">
        <f t="shared" si="35"/>
        <v>-1.1080691642651352E-2</v>
      </c>
      <c r="J278" s="13">
        <v>-0.88</v>
      </c>
      <c r="K278" s="12">
        <v>0.18</v>
      </c>
      <c r="L278" s="13">
        <v>-0.66</v>
      </c>
      <c r="M278" s="21">
        <v>0.01</v>
      </c>
      <c r="N278" s="20">
        <f t="shared" si="36"/>
        <v>-1.7000736919675623E-2</v>
      </c>
      <c r="O278" s="20">
        <f t="shared" si="37"/>
        <v>-8.1941309255077945E-3</v>
      </c>
      <c r="P278" s="20">
        <f t="shared" si="38"/>
        <v>-1.5705116776609011E-2</v>
      </c>
      <c r="Q278" s="20">
        <f t="shared" si="39"/>
        <v>-2.1080691642651354E-2</v>
      </c>
    </row>
    <row r="279" spans="1:17" x14ac:dyDescent="0.2">
      <c r="A279" s="1">
        <v>44966</v>
      </c>
      <c r="B279">
        <v>132.65</v>
      </c>
      <c r="C279">
        <v>55.67</v>
      </c>
      <c r="D279">
        <v>22.32</v>
      </c>
      <c r="E279" s="2">
        <v>4081.5</v>
      </c>
      <c r="F279" s="3">
        <f t="shared" si="32"/>
        <v>-1.558441558441559E-2</v>
      </c>
      <c r="G279" s="3">
        <f t="shared" si="33"/>
        <v>-1.7930787161556383E-3</v>
      </c>
      <c r="H279" s="3">
        <f t="shared" si="34"/>
        <v>5.8584948174853491E-3</v>
      </c>
      <c r="I279" s="3">
        <f t="shared" si="35"/>
        <v>-8.8298290859815109E-3</v>
      </c>
      <c r="J279" s="12">
        <v>0.43</v>
      </c>
      <c r="K279" s="12">
        <v>0.13</v>
      </c>
      <c r="L279" s="12">
        <v>0.18</v>
      </c>
      <c r="M279" s="21">
        <v>0.01</v>
      </c>
      <c r="N279" s="20">
        <f t="shared" si="36"/>
        <v>-2.5584415584415592E-2</v>
      </c>
      <c r="O279" s="20">
        <f t="shared" si="37"/>
        <v>-4.1415051825146511E-3</v>
      </c>
      <c r="P279" s="20">
        <f t="shared" si="38"/>
        <v>-1.1793078716155639E-2</v>
      </c>
      <c r="Q279" s="20">
        <f t="shared" si="39"/>
        <v>-1.8829829085981513E-2</v>
      </c>
    </row>
    <row r="280" spans="1:17" x14ac:dyDescent="0.2">
      <c r="A280" s="1">
        <v>44967</v>
      </c>
      <c r="B280">
        <v>133.24</v>
      </c>
      <c r="C280">
        <v>55.67</v>
      </c>
      <c r="D280">
        <v>21.25</v>
      </c>
      <c r="E280" s="2">
        <v>4090.46</v>
      </c>
      <c r="F280" s="3">
        <f t="shared" si="32"/>
        <v>4.4477949491141811E-3</v>
      </c>
      <c r="G280" s="3">
        <f t="shared" si="33"/>
        <v>0</v>
      </c>
      <c r="H280" s="3">
        <f t="shared" si="34"/>
        <v>-4.7939068100358417E-2</v>
      </c>
      <c r="I280" s="3">
        <f t="shared" si="35"/>
        <v>2.1952713463186946E-3</v>
      </c>
      <c r="J280" s="12">
        <v>0.51</v>
      </c>
      <c r="K280" s="12">
        <v>0.21</v>
      </c>
      <c r="L280" s="15">
        <v>1.1599999999999999</v>
      </c>
      <c r="M280" s="21">
        <v>0.01</v>
      </c>
      <c r="N280" s="20">
        <f t="shared" si="36"/>
        <v>-5.5522050508858192E-3</v>
      </c>
      <c r="O280" s="20">
        <f t="shared" si="37"/>
        <v>-5.7939068100358419E-2</v>
      </c>
      <c r="P280" s="20">
        <f t="shared" si="38"/>
        <v>-0.01</v>
      </c>
      <c r="Q280" s="20">
        <f t="shared" si="39"/>
        <v>-7.8047286536813056E-3</v>
      </c>
    </row>
    <row r="281" spans="1:17" x14ac:dyDescent="0.2">
      <c r="A281" s="1">
        <v>44970</v>
      </c>
      <c r="B281">
        <v>134.68</v>
      </c>
      <c r="C281">
        <v>56.59</v>
      </c>
      <c r="D281">
        <v>21.77</v>
      </c>
      <c r="E281" s="2">
        <v>4137.29</v>
      </c>
      <c r="F281" s="3">
        <f t="shared" si="32"/>
        <v>1.0807565295706922E-2</v>
      </c>
      <c r="G281" s="3">
        <f t="shared" si="33"/>
        <v>1.6525956529549246E-2</v>
      </c>
      <c r="H281" s="3">
        <f t="shared" si="34"/>
        <v>2.4470588235294022E-2</v>
      </c>
      <c r="I281" s="3">
        <f t="shared" si="35"/>
        <v>1.1448590134117032E-2</v>
      </c>
      <c r="J281" s="13">
        <v>-0.28999999999999998</v>
      </c>
      <c r="K281" s="12">
        <v>0.55000000000000004</v>
      </c>
      <c r="L281" s="13">
        <v>-0.18</v>
      </c>
      <c r="M281" s="21">
        <v>0.01</v>
      </c>
      <c r="N281" s="20">
        <f t="shared" si="36"/>
        <v>8.0756529570692216E-4</v>
      </c>
      <c r="O281" s="20">
        <f t="shared" si="37"/>
        <v>1.4470588235294022E-2</v>
      </c>
      <c r="P281" s="20">
        <f t="shared" si="38"/>
        <v>6.5259565295492459E-3</v>
      </c>
      <c r="Q281" s="20">
        <f t="shared" si="39"/>
        <v>1.4485901341170313E-3</v>
      </c>
    </row>
    <row r="282" spans="1:17" x14ac:dyDescent="0.2">
      <c r="A282" s="1">
        <v>44971</v>
      </c>
      <c r="B282">
        <v>135.28</v>
      </c>
      <c r="C282">
        <v>55.64</v>
      </c>
      <c r="D282">
        <v>22.95</v>
      </c>
      <c r="E282" s="2">
        <v>4136.13</v>
      </c>
      <c r="F282" s="3">
        <f t="shared" si="32"/>
        <v>4.4550044550044632E-3</v>
      </c>
      <c r="G282" s="3">
        <f t="shared" si="33"/>
        <v>-1.6787418271779542E-2</v>
      </c>
      <c r="H282" s="3">
        <f t="shared" si="34"/>
        <v>5.4203031694993076E-2</v>
      </c>
      <c r="I282" s="3">
        <f t="shared" si="35"/>
        <v>-2.8037676836767389E-4</v>
      </c>
      <c r="J282" s="12">
        <v>0.28000000000000003</v>
      </c>
      <c r="K282" s="13">
        <v>-0.12</v>
      </c>
      <c r="L282" s="12">
        <v>0.42</v>
      </c>
      <c r="M282" s="21">
        <v>0.01</v>
      </c>
      <c r="N282" s="20">
        <f t="shared" si="36"/>
        <v>-5.544995544995537E-3</v>
      </c>
      <c r="O282" s="20">
        <f t="shared" si="37"/>
        <v>4.4203031694993074E-2</v>
      </c>
      <c r="P282" s="20">
        <f t="shared" si="38"/>
        <v>-2.6787418271779544E-2</v>
      </c>
      <c r="Q282" s="20">
        <f t="shared" si="39"/>
        <v>-1.0280376768367674E-2</v>
      </c>
    </row>
    <row r="283" spans="1:17" x14ac:dyDescent="0.2">
      <c r="A283" s="1">
        <v>44972</v>
      </c>
      <c r="B283">
        <v>135.85</v>
      </c>
      <c r="C283">
        <v>55.64</v>
      </c>
      <c r="D283">
        <v>22.75</v>
      </c>
      <c r="E283" s="2">
        <v>4147.6000000000004</v>
      </c>
      <c r="F283" s="3">
        <f t="shared" si="32"/>
        <v>4.2134831460673983E-3</v>
      </c>
      <c r="G283" s="3">
        <f t="shared" si="33"/>
        <v>0</v>
      </c>
      <c r="H283" s="3">
        <f t="shared" si="34"/>
        <v>-8.7145969498910736E-3</v>
      </c>
      <c r="I283" s="3">
        <f t="shared" si="35"/>
        <v>2.7731236687436045E-3</v>
      </c>
      <c r="J283" s="12">
        <v>0.02</v>
      </c>
      <c r="K283" s="11">
        <v>0.2</v>
      </c>
      <c r="L283" s="13">
        <v>-0.78</v>
      </c>
      <c r="M283" s="21">
        <v>0.01</v>
      </c>
      <c r="N283" s="20">
        <f t="shared" si="36"/>
        <v>-5.7865168539326019E-3</v>
      </c>
      <c r="O283" s="20">
        <f t="shared" si="37"/>
        <v>-1.8714596949891076E-2</v>
      </c>
      <c r="P283" s="20">
        <f t="shared" si="38"/>
        <v>-0.01</v>
      </c>
      <c r="Q283" s="20">
        <f t="shared" si="39"/>
        <v>-7.2268763312563957E-3</v>
      </c>
    </row>
    <row r="284" spans="1:17" x14ac:dyDescent="0.2">
      <c r="A284" s="1">
        <v>44973</v>
      </c>
      <c r="B284">
        <v>133.97999999999999</v>
      </c>
      <c r="C284">
        <v>55.3</v>
      </c>
      <c r="D284">
        <v>21.98</v>
      </c>
      <c r="E284" s="2">
        <v>4090.41</v>
      </c>
      <c r="F284" s="3">
        <f t="shared" si="32"/>
        <v>-1.3765182186234903E-2</v>
      </c>
      <c r="G284" s="3">
        <f t="shared" si="33"/>
        <v>-6.1107117181884441E-3</v>
      </c>
      <c r="H284" s="3">
        <f t="shared" si="34"/>
        <v>-3.3846153846153859E-2</v>
      </c>
      <c r="I284" s="3">
        <f t="shared" si="35"/>
        <v>-1.378869707782826E-2</v>
      </c>
      <c r="J284" s="13">
        <v>-0.38</v>
      </c>
      <c r="K284" s="12">
        <v>0.11</v>
      </c>
      <c r="L284" s="13">
        <v>-0.32</v>
      </c>
      <c r="M284" s="21">
        <v>0.01</v>
      </c>
      <c r="N284" s="20">
        <f t="shared" si="36"/>
        <v>-2.3765182186234905E-2</v>
      </c>
      <c r="O284" s="20">
        <f t="shared" si="37"/>
        <v>-4.3846153846153861E-2</v>
      </c>
      <c r="P284" s="20">
        <f t="shared" si="38"/>
        <v>-1.6110711718188446E-2</v>
      </c>
      <c r="Q284" s="20">
        <f t="shared" si="39"/>
        <v>-2.3788697077828262E-2</v>
      </c>
    </row>
    <row r="285" spans="1:17" x14ac:dyDescent="0.2">
      <c r="A285" s="1">
        <v>44974</v>
      </c>
      <c r="B285">
        <v>134.37</v>
      </c>
      <c r="C285">
        <v>56.14</v>
      </c>
      <c r="D285">
        <v>21.37</v>
      </c>
      <c r="E285" s="2">
        <v>4079.09</v>
      </c>
      <c r="F285" s="3">
        <f t="shared" si="32"/>
        <v>2.9108822212271512E-3</v>
      </c>
      <c r="G285" s="3">
        <f t="shared" si="33"/>
        <v>1.51898734177216E-2</v>
      </c>
      <c r="H285" s="3">
        <f t="shared" si="34"/>
        <v>-2.7752502274795199E-2</v>
      </c>
      <c r="I285" s="3">
        <f t="shared" si="35"/>
        <v>-2.7674487398573477E-3</v>
      </c>
      <c r="J285" s="13">
        <v>-0.11</v>
      </c>
      <c r="K285" s="13">
        <v>-0.28000000000000003</v>
      </c>
      <c r="L285" s="13">
        <v>-0.22</v>
      </c>
      <c r="M285" s="21">
        <v>0.01</v>
      </c>
      <c r="N285" s="20">
        <f t="shared" si="36"/>
        <v>-7.089117778772849E-3</v>
      </c>
      <c r="O285" s="20">
        <f t="shared" si="37"/>
        <v>-3.7752502274795201E-2</v>
      </c>
      <c r="P285" s="20">
        <f t="shared" si="38"/>
        <v>5.1898734177215997E-3</v>
      </c>
      <c r="Q285" s="20">
        <f t="shared" si="39"/>
        <v>-1.2767448739857348E-2</v>
      </c>
    </row>
    <row r="286" spans="1:17" x14ac:dyDescent="0.2">
      <c r="A286" s="1">
        <v>44978</v>
      </c>
      <c r="B286">
        <v>131.91</v>
      </c>
      <c r="C286">
        <v>55.84</v>
      </c>
      <c r="D286">
        <v>20.64</v>
      </c>
      <c r="E286" s="2">
        <v>3997.34</v>
      </c>
      <c r="F286" s="3">
        <f t="shared" si="32"/>
        <v>-1.8307657959365953E-2</v>
      </c>
      <c r="G286" s="3">
        <f t="shared" si="33"/>
        <v>-5.3437833986461625E-3</v>
      </c>
      <c r="H286" s="3">
        <f t="shared" si="34"/>
        <v>-3.4160037435657431E-2</v>
      </c>
      <c r="I286" s="3">
        <f t="shared" si="35"/>
        <v>-2.0041234687148357E-2</v>
      </c>
      <c r="J286" s="17">
        <v>-1.51</v>
      </c>
      <c r="K286" s="13">
        <v>-0.01</v>
      </c>
      <c r="L286" s="13">
        <v>-0.64</v>
      </c>
      <c r="M286" s="21">
        <v>0.01</v>
      </c>
      <c r="N286" s="20">
        <f t="shared" si="36"/>
        <v>-2.8307657959365955E-2</v>
      </c>
      <c r="O286" s="20">
        <f t="shared" si="37"/>
        <v>-4.4160037435657433E-2</v>
      </c>
      <c r="P286" s="20">
        <f t="shared" si="38"/>
        <v>-1.5343783398646163E-2</v>
      </c>
      <c r="Q286" s="20">
        <f t="shared" si="39"/>
        <v>-3.0041234687148359E-2</v>
      </c>
    </row>
    <row r="287" spans="1:17" x14ac:dyDescent="0.2">
      <c r="A287" s="1">
        <v>44979</v>
      </c>
      <c r="B287">
        <v>130.9</v>
      </c>
      <c r="C287">
        <v>56.01</v>
      </c>
      <c r="D287">
        <v>20.74</v>
      </c>
      <c r="E287" s="2">
        <v>3991.05</v>
      </c>
      <c r="F287" s="3">
        <f t="shared" si="32"/>
        <v>-7.656735653096769E-3</v>
      </c>
      <c r="G287" s="3">
        <f t="shared" si="33"/>
        <v>3.044412607449809E-3</v>
      </c>
      <c r="H287" s="3">
        <f t="shared" si="34"/>
        <v>4.8449612403098641E-3</v>
      </c>
      <c r="I287" s="3">
        <f t="shared" si="35"/>
        <v>-1.5735464083616035E-3</v>
      </c>
      <c r="J287" s="12">
        <v>0.88</v>
      </c>
      <c r="K287" s="12">
        <v>0.12</v>
      </c>
      <c r="L287" s="11">
        <v>0.2</v>
      </c>
      <c r="M287" s="21">
        <v>0.01</v>
      </c>
      <c r="N287" s="20">
        <f t="shared" si="36"/>
        <v>-1.7656735653096771E-2</v>
      </c>
      <c r="O287" s="20">
        <f t="shared" si="37"/>
        <v>-5.1550387596901361E-3</v>
      </c>
      <c r="P287" s="20">
        <f t="shared" si="38"/>
        <v>-6.9555873925501912E-3</v>
      </c>
      <c r="Q287" s="20">
        <f t="shared" si="39"/>
        <v>-1.1573546408361604E-2</v>
      </c>
    </row>
    <row r="288" spans="1:17" x14ac:dyDescent="0.2">
      <c r="A288" s="1">
        <v>44980</v>
      </c>
      <c r="B288">
        <v>131.94</v>
      </c>
      <c r="C288">
        <v>56.11</v>
      </c>
      <c r="D288">
        <v>23.64</v>
      </c>
      <c r="E288" s="2">
        <v>4012.32</v>
      </c>
      <c r="F288" s="3">
        <f t="shared" si="32"/>
        <v>7.9449961802902092E-3</v>
      </c>
      <c r="G288" s="3">
        <f t="shared" si="33"/>
        <v>1.7853954650954851E-3</v>
      </c>
      <c r="H288" s="3">
        <f t="shared" si="34"/>
        <v>0.13982642237222764</v>
      </c>
      <c r="I288" s="3">
        <f t="shared" si="35"/>
        <v>5.3294245875146196E-3</v>
      </c>
      <c r="J288" s="12">
        <v>0.62</v>
      </c>
      <c r="K288" s="13">
        <v>-0.34</v>
      </c>
      <c r="L288" s="13">
        <v>-0.21</v>
      </c>
      <c r="M288" s="21">
        <v>0.01</v>
      </c>
      <c r="N288" s="20">
        <f t="shared" si="36"/>
        <v>-2.0550038197097911E-3</v>
      </c>
      <c r="O288" s="20">
        <f t="shared" si="37"/>
        <v>0.12982642237222763</v>
      </c>
      <c r="P288" s="20">
        <f t="shared" si="38"/>
        <v>-8.2146045349045151E-3</v>
      </c>
      <c r="Q288" s="20">
        <f t="shared" si="39"/>
        <v>-4.6705754124853806E-3</v>
      </c>
    </row>
    <row r="289" spans="1:17" x14ac:dyDescent="0.2">
      <c r="A289" s="1">
        <v>44981</v>
      </c>
      <c r="B289">
        <v>133.13</v>
      </c>
      <c r="C289">
        <v>55.88</v>
      </c>
      <c r="D289">
        <v>23.27</v>
      </c>
      <c r="E289" s="2">
        <v>3970.04</v>
      </c>
      <c r="F289" s="3">
        <f t="shared" si="32"/>
        <v>9.0192511747764215E-3</v>
      </c>
      <c r="G289" s="3">
        <f t="shared" si="33"/>
        <v>-4.0990910711102835E-3</v>
      </c>
      <c r="H289" s="3">
        <f t="shared" si="34"/>
        <v>-1.5651438240270821E-2</v>
      </c>
      <c r="I289" s="3">
        <f t="shared" si="35"/>
        <v>-1.0537544363360851E-2</v>
      </c>
      <c r="J289" s="12">
        <v>0.16</v>
      </c>
      <c r="K289" s="12">
        <v>0.67</v>
      </c>
      <c r="L289" s="12">
        <v>0.95</v>
      </c>
      <c r="M289" s="21">
        <v>0.01</v>
      </c>
      <c r="N289" s="20">
        <f t="shared" si="36"/>
        <v>-9.8074882522357874E-4</v>
      </c>
      <c r="O289" s="20">
        <f t="shared" si="37"/>
        <v>-2.5651438240270823E-2</v>
      </c>
      <c r="P289" s="20">
        <f t="shared" si="38"/>
        <v>-1.4099091071110284E-2</v>
      </c>
      <c r="Q289" s="20">
        <f t="shared" si="39"/>
        <v>-2.0537544363360853E-2</v>
      </c>
    </row>
    <row r="290" spans="1:17" x14ac:dyDescent="0.2">
      <c r="A290" s="1">
        <v>44984</v>
      </c>
      <c r="B290">
        <v>134.30000000000001</v>
      </c>
      <c r="C290">
        <v>55.86</v>
      </c>
      <c r="D290">
        <v>23.48</v>
      </c>
      <c r="E290" s="2">
        <v>3982.24</v>
      </c>
      <c r="F290" s="3">
        <f t="shared" si="32"/>
        <v>8.7884023135282874E-3</v>
      </c>
      <c r="G290" s="3">
        <f t="shared" si="33"/>
        <v>-3.5790980672878447E-4</v>
      </c>
      <c r="H290" s="3">
        <f t="shared" si="34"/>
        <v>9.0244950580147254E-3</v>
      </c>
      <c r="I290" s="3">
        <f t="shared" si="35"/>
        <v>3.0730168965551474E-3</v>
      </c>
      <c r="J290" s="13">
        <v>-0.12</v>
      </c>
      <c r="K290" s="12">
        <v>0.19</v>
      </c>
      <c r="L290" s="12">
        <v>0.56000000000000005</v>
      </c>
      <c r="M290" s="21">
        <v>0.01</v>
      </c>
      <c r="N290" s="20">
        <f t="shared" si="36"/>
        <v>-1.2115976864717128E-3</v>
      </c>
      <c r="O290" s="20">
        <f t="shared" si="37"/>
        <v>-9.7550494198527481E-4</v>
      </c>
      <c r="P290" s="20">
        <f t="shared" si="38"/>
        <v>-1.0357909806728785E-2</v>
      </c>
      <c r="Q290" s="20">
        <f t="shared" si="39"/>
        <v>-6.9269831034448528E-3</v>
      </c>
    </row>
    <row r="291" spans="1:17" x14ac:dyDescent="0.2">
      <c r="A291" s="1">
        <v>44985</v>
      </c>
      <c r="B291">
        <v>135.41999999999999</v>
      </c>
      <c r="C291">
        <v>55.57</v>
      </c>
      <c r="D291">
        <v>23.2</v>
      </c>
      <c r="E291" s="2">
        <v>3970.15</v>
      </c>
      <c r="F291" s="3">
        <f t="shared" si="32"/>
        <v>8.3395383469841988E-3</v>
      </c>
      <c r="G291" s="3">
        <f t="shared" si="33"/>
        <v>-5.1915503043322708E-3</v>
      </c>
      <c r="H291" s="3">
        <f t="shared" si="34"/>
        <v>-1.1925042589437829E-2</v>
      </c>
      <c r="I291" s="3">
        <f t="shared" si="35"/>
        <v>-3.0359797500902896E-3</v>
      </c>
      <c r="J291" s="13">
        <v>-0.18</v>
      </c>
      <c r="K291" s="12">
        <v>0.43</v>
      </c>
      <c r="L291" s="13">
        <v>-0.56000000000000005</v>
      </c>
      <c r="M291" s="21">
        <v>0.01</v>
      </c>
      <c r="N291" s="20">
        <f t="shared" si="36"/>
        <v>-1.6604616530158014E-3</v>
      </c>
      <c r="O291" s="20">
        <f t="shared" si="37"/>
        <v>-2.1925042589437831E-2</v>
      </c>
      <c r="P291" s="20">
        <f t="shared" si="38"/>
        <v>-1.5191550304332271E-2</v>
      </c>
      <c r="Q291" s="20">
        <f t="shared" si="39"/>
        <v>-1.303597975009029E-2</v>
      </c>
    </row>
    <row r="292" spans="1:17" x14ac:dyDescent="0.2">
      <c r="A292" s="1">
        <v>44986</v>
      </c>
      <c r="B292">
        <v>134.66</v>
      </c>
      <c r="C292">
        <v>54.96</v>
      </c>
      <c r="D292">
        <v>22.68</v>
      </c>
      <c r="E292" s="2">
        <v>3951.39</v>
      </c>
      <c r="F292" s="3">
        <f t="shared" si="32"/>
        <v>-5.6121695465957133E-3</v>
      </c>
      <c r="G292" s="3">
        <f t="shared" si="33"/>
        <v>-1.0977145942055011E-2</v>
      </c>
      <c r="H292" s="3">
        <f t="shared" si="34"/>
        <v>-2.2413793103448265E-2</v>
      </c>
      <c r="I292" s="3">
        <f t="shared" si="35"/>
        <v>-4.7252622696876134E-3</v>
      </c>
      <c r="J292" s="13">
        <v>-0.35</v>
      </c>
      <c r="K292" s="13">
        <v>-0.28000000000000003</v>
      </c>
      <c r="L292" s="11">
        <v>0.4</v>
      </c>
      <c r="M292" s="21">
        <v>0.01</v>
      </c>
      <c r="N292" s="20">
        <f t="shared" si="36"/>
        <v>-1.5612169546595714E-2</v>
      </c>
      <c r="O292" s="20">
        <f t="shared" si="37"/>
        <v>-3.2413793103448267E-2</v>
      </c>
      <c r="P292" s="20">
        <f t="shared" si="38"/>
        <v>-2.0977145942055013E-2</v>
      </c>
      <c r="Q292" s="20">
        <f t="shared" si="39"/>
        <v>-1.4725262269687614E-2</v>
      </c>
    </row>
    <row r="293" spans="1:17" x14ac:dyDescent="0.2">
      <c r="A293" s="1">
        <v>44987</v>
      </c>
      <c r="B293">
        <v>133.27000000000001</v>
      </c>
      <c r="C293">
        <v>55.77</v>
      </c>
      <c r="D293">
        <v>23.29</v>
      </c>
      <c r="E293" s="2">
        <v>3981.35</v>
      </c>
      <c r="F293" s="3">
        <f t="shared" si="32"/>
        <v>-1.0322293182830733E-2</v>
      </c>
      <c r="G293" s="3">
        <f t="shared" si="33"/>
        <v>1.473799126637565E-2</v>
      </c>
      <c r="H293" s="3">
        <f t="shared" si="34"/>
        <v>2.6895943562610158E-2</v>
      </c>
      <c r="I293" s="3">
        <f t="shared" si="35"/>
        <v>7.5821419804169565E-3</v>
      </c>
      <c r="J293" s="13">
        <v>-0.01</v>
      </c>
      <c r="K293" s="12">
        <v>0.03</v>
      </c>
      <c r="L293" s="13">
        <v>-0.59</v>
      </c>
      <c r="M293" s="21">
        <v>0.01</v>
      </c>
      <c r="N293" s="20">
        <f t="shared" si="36"/>
        <v>-2.0322293182830735E-2</v>
      </c>
      <c r="O293" s="20">
        <f t="shared" si="37"/>
        <v>1.6895943562610156E-2</v>
      </c>
      <c r="P293" s="20">
        <f t="shared" si="38"/>
        <v>4.7379912663756494E-3</v>
      </c>
      <c r="Q293" s="20">
        <f t="shared" si="39"/>
        <v>-2.4178580195830437E-3</v>
      </c>
    </row>
    <row r="294" spans="1:17" x14ac:dyDescent="0.2">
      <c r="A294" s="1">
        <v>44988</v>
      </c>
      <c r="B294">
        <v>135.71</v>
      </c>
      <c r="C294">
        <v>55.5</v>
      </c>
      <c r="D294">
        <v>23.87</v>
      </c>
      <c r="E294" s="2">
        <v>4045.64</v>
      </c>
      <c r="F294" s="3">
        <f t="shared" si="32"/>
        <v>1.8308696630899624E-2</v>
      </c>
      <c r="G294" s="3">
        <f t="shared" si="33"/>
        <v>-4.8413125336203011E-3</v>
      </c>
      <c r="H294" s="3">
        <f t="shared" si="34"/>
        <v>2.4903392013739811E-2</v>
      </c>
      <c r="I294" s="3">
        <f t="shared" si="35"/>
        <v>1.61477890665227E-2</v>
      </c>
      <c r="J294" s="13">
        <v>-0.86</v>
      </c>
      <c r="K294" s="13">
        <v>-0.44</v>
      </c>
      <c r="L294" s="13">
        <v>-0.81</v>
      </c>
      <c r="M294" s="21">
        <v>0.01</v>
      </c>
      <c r="N294" s="20">
        <f t="shared" si="36"/>
        <v>8.3086966308996233E-3</v>
      </c>
      <c r="O294" s="20">
        <f t="shared" si="37"/>
        <v>1.4903392013739811E-2</v>
      </c>
      <c r="P294" s="20">
        <f t="shared" si="38"/>
        <v>-1.4841312533620301E-2</v>
      </c>
      <c r="Q294" s="20">
        <f t="shared" si="39"/>
        <v>6.1477890665226995E-3</v>
      </c>
    </row>
    <row r="295" spans="1:17" x14ac:dyDescent="0.2">
      <c r="A295" s="1">
        <v>44991</v>
      </c>
      <c r="B295">
        <v>134.91999999999999</v>
      </c>
      <c r="C295">
        <v>56.36</v>
      </c>
      <c r="D295">
        <v>23.53</v>
      </c>
      <c r="E295" s="2">
        <v>4048.42</v>
      </c>
      <c r="F295" s="3">
        <f t="shared" si="32"/>
        <v>-5.8212364600989108E-3</v>
      </c>
      <c r="G295" s="3">
        <f t="shared" si="33"/>
        <v>1.5495495495495559E-2</v>
      </c>
      <c r="H295" s="3">
        <f t="shared" si="34"/>
        <v>-1.4243820695433618E-2</v>
      </c>
      <c r="I295" s="3">
        <f t="shared" si="35"/>
        <v>6.8715950999109765E-4</v>
      </c>
      <c r="J295" s="12">
        <v>0.13</v>
      </c>
      <c r="K295" s="12">
        <v>0.01</v>
      </c>
      <c r="L295" s="12">
        <v>0.21</v>
      </c>
      <c r="M295" s="21">
        <v>0.01</v>
      </c>
      <c r="N295" s="20">
        <f t="shared" si="36"/>
        <v>-1.5821236460098913E-2</v>
      </c>
      <c r="O295" s="20">
        <f t="shared" si="37"/>
        <v>-2.424382069543362E-2</v>
      </c>
      <c r="P295" s="20">
        <f t="shared" si="38"/>
        <v>5.4954954954955591E-3</v>
      </c>
      <c r="Q295" s="20">
        <f t="shared" si="39"/>
        <v>-9.3128404900089026E-3</v>
      </c>
    </row>
    <row r="296" spans="1:17" x14ac:dyDescent="0.2">
      <c r="A296" s="1">
        <v>44992</v>
      </c>
      <c r="B296">
        <v>130.94999999999999</v>
      </c>
      <c r="C296">
        <v>56.04</v>
      </c>
      <c r="D296">
        <v>23.27</v>
      </c>
      <c r="E296" s="2">
        <v>3986.37</v>
      </c>
      <c r="F296" s="3">
        <f t="shared" si="32"/>
        <v>-2.9424844352208712E-2</v>
      </c>
      <c r="G296" s="3">
        <f t="shared" si="33"/>
        <v>-5.6777856635912283E-3</v>
      </c>
      <c r="H296" s="3">
        <f t="shared" si="34"/>
        <v>-1.104972375690616E-2</v>
      </c>
      <c r="I296" s="3">
        <f t="shared" si="35"/>
        <v>-1.5326967063694075E-2</v>
      </c>
      <c r="J296" s="14">
        <v>-0.1</v>
      </c>
      <c r="K296" s="13">
        <v>-0.11</v>
      </c>
      <c r="L296" s="12">
        <v>0.12</v>
      </c>
      <c r="M296" s="21">
        <v>0.01</v>
      </c>
      <c r="N296" s="20">
        <f t="shared" si="36"/>
        <v>-3.9424844352208714E-2</v>
      </c>
      <c r="O296" s="20">
        <f t="shared" si="37"/>
        <v>-2.1049723756906162E-2</v>
      </c>
      <c r="P296" s="20">
        <f t="shared" si="38"/>
        <v>-1.567778566359123E-2</v>
      </c>
      <c r="Q296" s="20">
        <f t="shared" si="39"/>
        <v>-2.5326967063694077E-2</v>
      </c>
    </row>
    <row r="297" spans="1:17" x14ac:dyDescent="0.2">
      <c r="A297" s="1">
        <v>44993</v>
      </c>
      <c r="B297">
        <v>130.18</v>
      </c>
      <c r="C297">
        <v>56.07</v>
      </c>
      <c r="D297">
        <v>24.17</v>
      </c>
      <c r="E297" s="2">
        <v>3992.01</v>
      </c>
      <c r="F297" s="3">
        <f t="shared" si="32"/>
        <v>-5.8801069110345772E-3</v>
      </c>
      <c r="G297" s="3">
        <f t="shared" si="33"/>
        <v>5.3533190578169965E-4</v>
      </c>
      <c r="H297" s="3">
        <f t="shared" si="34"/>
        <v>3.8676407391491363E-2</v>
      </c>
      <c r="I297" s="3">
        <f t="shared" si="35"/>
        <v>1.4148210025664021E-3</v>
      </c>
      <c r="J297" s="17">
        <v>-1.22</v>
      </c>
      <c r="K297" s="13">
        <v>-0.59</v>
      </c>
      <c r="L297" s="13">
        <v>-0.57999999999999996</v>
      </c>
      <c r="M297" s="21">
        <v>0.01</v>
      </c>
      <c r="N297" s="20">
        <f t="shared" si="36"/>
        <v>-1.5880106911034579E-2</v>
      </c>
      <c r="O297" s="20">
        <f t="shared" si="37"/>
        <v>2.8676407391491361E-2</v>
      </c>
      <c r="P297" s="20">
        <f t="shared" si="38"/>
        <v>-9.4646680942183006E-3</v>
      </c>
      <c r="Q297" s="20">
        <f t="shared" si="39"/>
        <v>-8.5851789974335981E-3</v>
      </c>
    </row>
    <row r="298" spans="1:17" x14ac:dyDescent="0.2">
      <c r="A298" s="1">
        <v>44994</v>
      </c>
      <c r="B298">
        <v>123.13</v>
      </c>
      <c r="C298">
        <v>55.52</v>
      </c>
      <c r="D298">
        <v>23.42</v>
      </c>
      <c r="E298" s="2">
        <v>3918.32</v>
      </c>
      <c r="F298" s="3">
        <f t="shared" si="32"/>
        <v>-5.4155784298663523E-2</v>
      </c>
      <c r="G298" s="3">
        <f t="shared" si="33"/>
        <v>-9.8091671125378754E-3</v>
      </c>
      <c r="H298" s="3">
        <f t="shared" si="34"/>
        <v>-3.1030202730657819E-2</v>
      </c>
      <c r="I298" s="3">
        <f t="shared" si="35"/>
        <v>-1.8459372596762003E-2</v>
      </c>
      <c r="J298" s="12">
        <v>0.26</v>
      </c>
      <c r="K298" s="13">
        <v>-0.02</v>
      </c>
      <c r="L298" s="13">
        <v>-0.18</v>
      </c>
      <c r="M298" s="21">
        <v>0.01</v>
      </c>
      <c r="N298" s="20">
        <f t="shared" si="36"/>
        <v>-6.4155784298663518E-2</v>
      </c>
      <c r="O298" s="20">
        <f t="shared" si="37"/>
        <v>-4.1030202730657821E-2</v>
      </c>
      <c r="P298" s="20">
        <f t="shared" si="38"/>
        <v>-1.9809167112537877E-2</v>
      </c>
      <c r="Q298" s="20">
        <f t="shared" si="39"/>
        <v>-2.8459372596762005E-2</v>
      </c>
    </row>
    <row r="299" spans="1:17" x14ac:dyDescent="0.2">
      <c r="A299" s="1">
        <v>44995</v>
      </c>
      <c r="B299">
        <v>126.26</v>
      </c>
      <c r="C299">
        <v>55.29</v>
      </c>
      <c r="D299">
        <v>22.95</v>
      </c>
      <c r="E299" s="2">
        <v>3861.59</v>
      </c>
      <c r="F299" s="3">
        <f t="shared" si="32"/>
        <v>2.5420287501015215E-2</v>
      </c>
      <c r="G299" s="3">
        <f t="shared" si="33"/>
        <v>-4.1426512968300022E-3</v>
      </c>
      <c r="H299" s="3">
        <f t="shared" si="34"/>
        <v>-2.0068317677199077E-2</v>
      </c>
      <c r="I299" s="3">
        <f t="shared" si="35"/>
        <v>-1.4478143694236278E-2</v>
      </c>
      <c r="J299" s="12">
        <v>0.03</v>
      </c>
      <c r="K299" s="12">
        <v>0.08</v>
      </c>
      <c r="L299" s="13">
        <v>-0.43</v>
      </c>
      <c r="M299" s="21">
        <v>0.01</v>
      </c>
      <c r="N299" s="20">
        <f t="shared" si="36"/>
        <v>1.5420287501015215E-2</v>
      </c>
      <c r="O299" s="20">
        <f t="shared" si="37"/>
        <v>-3.0068317677199079E-2</v>
      </c>
      <c r="P299" s="20">
        <f t="shared" si="38"/>
        <v>-1.4142651296830002E-2</v>
      </c>
      <c r="Q299" s="20">
        <f t="shared" si="39"/>
        <v>-2.447814369423628E-2</v>
      </c>
    </row>
    <row r="300" spans="1:17" x14ac:dyDescent="0.2">
      <c r="A300" s="1">
        <v>44998</v>
      </c>
      <c r="B300">
        <v>123.99</v>
      </c>
      <c r="C300">
        <v>55.85</v>
      </c>
      <c r="D300">
        <v>22.95</v>
      </c>
      <c r="E300" s="2">
        <v>3855.76</v>
      </c>
      <c r="F300" s="3">
        <f t="shared" si="32"/>
        <v>-1.7978773958498451E-2</v>
      </c>
      <c r="G300" s="3">
        <f t="shared" si="33"/>
        <v>1.0128413818050408E-2</v>
      </c>
      <c r="H300" s="3">
        <f t="shared" si="34"/>
        <v>0</v>
      </c>
      <c r="I300" s="3">
        <f t="shared" si="35"/>
        <v>-1.5097408062482165E-3</v>
      </c>
      <c r="J300" s="13">
        <v>-0.09</v>
      </c>
      <c r="K300" s="13">
        <v>-0.06</v>
      </c>
      <c r="L300" s="13">
        <v>-0.18</v>
      </c>
      <c r="M300" s="21">
        <v>0.01</v>
      </c>
      <c r="N300" s="20">
        <f t="shared" si="36"/>
        <v>-2.7978773958498453E-2</v>
      </c>
      <c r="O300" s="20">
        <f t="shared" si="37"/>
        <v>-0.01</v>
      </c>
      <c r="P300" s="20">
        <f t="shared" si="38"/>
        <v>1.2841381805040776E-4</v>
      </c>
      <c r="Q300" s="20">
        <f t="shared" si="39"/>
        <v>-1.1509740806248217E-2</v>
      </c>
    </row>
    <row r="301" spans="1:17" x14ac:dyDescent="0.2">
      <c r="A301" s="1">
        <v>44999</v>
      </c>
      <c r="B301">
        <v>127.17</v>
      </c>
      <c r="C301">
        <v>56.06</v>
      </c>
      <c r="D301">
        <v>24.05</v>
      </c>
      <c r="E301" s="2">
        <v>3919.29</v>
      </c>
      <c r="F301" s="3">
        <f t="shared" si="32"/>
        <v>2.5647229615291645E-2</v>
      </c>
      <c r="G301" s="3">
        <f t="shared" si="33"/>
        <v>3.760071620411809E-3</v>
      </c>
      <c r="H301" s="3">
        <f t="shared" si="34"/>
        <v>4.7930283224400849E-2</v>
      </c>
      <c r="I301" s="3">
        <f t="shared" si="35"/>
        <v>1.6476647924144494E-2</v>
      </c>
      <c r="J301" s="12">
        <v>0.65</v>
      </c>
      <c r="K301" s="12">
        <v>0.02</v>
      </c>
      <c r="L301" s="14">
        <v>-0.1</v>
      </c>
      <c r="M301" s="20">
        <v>1.2E-2</v>
      </c>
      <c r="N301" s="20">
        <f t="shared" si="36"/>
        <v>1.3647229615291644E-2</v>
      </c>
      <c r="O301" s="20">
        <f t="shared" si="37"/>
        <v>3.5930283224400852E-2</v>
      </c>
      <c r="P301" s="20">
        <f t="shared" si="38"/>
        <v>-8.2399283795881913E-3</v>
      </c>
      <c r="Q301" s="20">
        <f t="shared" si="39"/>
        <v>4.4766479241444938E-3</v>
      </c>
    </row>
    <row r="302" spans="1:17" x14ac:dyDescent="0.2">
      <c r="A302" s="1">
        <v>45000</v>
      </c>
      <c r="B302">
        <v>121.17</v>
      </c>
      <c r="C302">
        <v>56.43</v>
      </c>
      <c r="D302">
        <v>24.21</v>
      </c>
      <c r="E302" s="2">
        <v>3891.93</v>
      </c>
      <c r="F302" s="3">
        <f t="shared" si="32"/>
        <v>-4.7180938900684088E-2</v>
      </c>
      <c r="G302" s="3">
        <f t="shared" si="33"/>
        <v>6.600071352122594E-3</v>
      </c>
      <c r="H302" s="3">
        <f t="shared" si="34"/>
        <v>6.6528066528066532E-3</v>
      </c>
      <c r="I302" s="3">
        <f t="shared" si="35"/>
        <v>-6.9808562265104568E-3</v>
      </c>
      <c r="J302" s="12">
        <v>0.55000000000000004</v>
      </c>
      <c r="K302" s="12">
        <v>0.28000000000000003</v>
      </c>
      <c r="L302" s="12">
        <v>0.16</v>
      </c>
      <c r="M302" s="20">
        <v>1.2E-2</v>
      </c>
      <c r="N302" s="20">
        <f t="shared" si="36"/>
        <v>-5.9180938900684085E-2</v>
      </c>
      <c r="O302" s="20">
        <f t="shared" si="37"/>
        <v>-5.3471933471933471E-3</v>
      </c>
      <c r="P302" s="20">
        <f t="shared" si="38"/>
        <v>-5.3999286478774063E-3</v>
      </c>
      <c r="Q302" s="20">
        <f t="shared" si="39"/>
        <v>-1.8980856226510457E-2</v>
      </c>
    </row>
    <row r="303" spans="1:17" x14ac:dyDescent="0.2">
      <c r="A303" s="1">
        <v>45001</v>
      </c>
      <c r="B303">
        <v>123.52</v>
      </c>
      <c r="C303">
        <v>56.74</v>
      </c>
      <c r="D303">
        <v>25.52</v>
      </c>
      <c r="E303" s="2">
        <v>3960.28</v>
      </c>
      <c r="F303" s="3">
        <f t="shared" si="32"/>
        <v>1.9394239498225607E-2</v>
      </c>
      <c r="G303" s="3">
        <f t="shared" si="33"/>
        <v>5.4935318093212171E-3</v>
      </c>
      <c r="H303" s="3">
        <f t="shared" si="34"/>
        <v>5.4109871953738065E-2</v>
      </c>
      <c r="I303" s="3">
        <f t="shared" si="35"/>
        <v>1.7561980816715783E-2</v>
      </c>
      <c r="J303" s="12">
        <v>0.84</v>
      </c>
      <c r="K303" s="13">
        <v>-0.42</v>
      </c>
      <c r="L303" s="12">
        <v>0.15</v>
      </c>
      <c r="M303" s="20">
        <v>1.2E-2</v>
      </c>
      <c r="N303" s="20">
        <f t="shared" si="36"/>
        <v>7.394239498225607E-3</v>
      </c>
      <c r="O303" s="20">
        <f t="shared" si="37"/>
        <v>4.2109871953738068E-2</v>
      </c>
      <c r="P303" s="20">
        <f t="shared" si="38"/>
        <v>-6.5064681906787832E-3</v>
      </c>
      <c r="Q303" s="20">
        <f t="shared" si="39"/>
        <v>5.5619808167157829E-3</v>
      </c>
    </row>
    <row r="304" spans="1:17" x14ac:dyDescent="0.2">
      <c r="A304" s="1">
        <v>45002</v>
      </c>
      <c r="B304">
        <v>118.85</v>
      </c>
      <c r="C304">
        <v>56.48</v>
      </c>
      <c r="D304">
        <v>25.71</v>
      </c>
      <c r="E304" s="2">
        <v>3916.64</v>
      </c>
      <c r="F304" s="3">
        <f t="shared" si="32"/>
        <v>-3.78076424870466E-2</v>
      </c>
      <c r="G304" s="3">
        <f t="shared" si="33"/>
        <v>-4.5823052520268526E-3</v>
      </c>
      <c r="H304" s="3">
        <f t="shared" si="34"/>
        <v>7.4451410658307182E-3</v>
      </c>
      <c r="I304" s="3">
        <f t="shared" si="35"/>
        <v>-1.101942286909019E-2</v>
      </c>
      <c r="J304" s="11">
        <v>0.6</v>
      </c>
      <c r="K304" s="12">
        <v>0.22</v>
      </c>
      <c r="L304" s="13">
        <v>-0.05</v>
      </c>
      <c r="M304" s="20">
        <v>1.2E-2</v>
      </c>
      <c r="N304" s="20">
        <f t="shared" si="36"/>
        <v>-4.9807642487046597E-2</v>
      </c>
      <c r="O304" s="20">
        <f t="shared" si="37"/>
        <v>-4.554858934169282E-3</v>
      </c>
      <c r="P304" s="20">
        <f t="shared" si="38"/>
        <v>-1.6582305252026853E-2</v>
      </c>
      <c r="Q304" s="20">
        <f t="shared" si="39"/>
        <v>-2.301942286909019E-2</v>
      </c>
    </row>
    <row r="305" spans="1:17" x14ac:dyDescent="0.2">
      <c r="A305" s="1">
        <v>45005</v>
      </c>
      <c r="B305">
        <v>120.11</v>
      </c>
      <c r="C305">
        <v>57.02</v>
      </c>
      <c r="D305">
        <v>25.88</v>
      </c>
      <c r="E305" s="2">
        <v>3951.57</v>
      </c>
      <c r="F305" s="3">
        <f t="shared" si="32"/>
        <v>1.060159865376531E-2</v>
      </c>
      <c r="G305" s="3">
        <f t="shared" si="33"/>
        <v>9.5609065155808359E-3</v>
      </c>
      <c r="H305" s="3">
        <f t="shared" si="34"/>
        <v>6.612213146635515E-3</v>
      </c>
      <c r="I305" s="3">
        <f t="shared" si="35"/>
        <v>8.9183585930798781E-3</v>
      </c>
      <c r="J305" s="13">
        <v>-0.25</v>
      </c>
      <c r="K305" s="12">
        <v>0.14000000000000001</v>
      </c>
      <c r="L305" s="13">
        <v>-0.03</v>
      </c>
      <c r="M305" s="20">
        <v>1.2E-2</v>
      </c>
      <c r="N305" s="20">
        <f t="shared" si="36"/>
        <v>-1.3984013462346907E-3</v>
      </c>
      <c r="O305" s="20">
        <f t="shared" si="37"/>
        <v>-5.3877868533644853E-3</v>
      </c>
      <c r="P305" s="20">
        <f t="shared" si="38"/>
        <v>-2.4390934844191643E-3</v>
      </c>
      <c r="Q305" s="20">
        <f t="shared" si="39"/>
        <v>-3.0816414069201221E-3</v>
      </c>
    </row>
    <row r="306" spans="1:17" x14ac:dyDescent="0.2">
      <c r="A306" s="1">
        <v>45006</v>
      </c>
      <c r="B306">
        <v>123.33</v>
      </c>
      <c r="C306">
        <v>56.76</v>
      </c>
      <c r="D306">
        <v>26.18</v>
      </c>
      <c r="E306" s="2">
        <v>4002.87</v>
      </c>
      <c r="F306" s="3">
        <f t="shared" si="32"/>
        <v>2.680875863791532E-2</v>
      </c>
      <c r="G306" s="3">
        <f t="shared" si="33"/>
        <v>-4.5598035776921453E-3</v>
      </c>
      <c r="H306" s="3">
        <f t="shared" si="34"/>
        <v>1.1591962905718622E-2</v>
      </c>
      <c r="I306" s="3">
        <f t="shared" si="35"/>
        <v>1.2982181765728518E-2</v>
      </c>
      <c r="J306" s="13">
        <v>-0.18</v>
      </c>
      <c r="K306" s="14">
        <v>-0.4</v>
      </c>
      <c r="L306" s="12">
        <v>0.13</v>
      </c>
      <c r="M306" s="20">
        <v>1.2E-2</v>
      </c>
      <c r="N306" s="20">
        <f t="shared" si="36"/>
        <v>1.480875863791532E-2</v>
      </c>
      <c r="O306" s="20">
        <f t="shared" si="37"/>
        <v>-4.0803709428137783E-4</v>
      </c>
      <c r="P306" s="20">
        <f t="shared" si="38"/>
        <v>-1.6559803577692146E-2</v>
      </c>
      <c r="Q306" s="20">
        <f t="shared" si="39"/>
        <v>9.8218176572851743E-4</v>
      </c>
    </row>
    <row r="307" spans="1:17" x14ac:dyDescent="0.2">
      <c r="A307" s="1">
        <v>45007</v>
      </c>
      <c r="B307">
        <v>120.15</v>
      </c>
      <c r="C307">
        <v>56.5</v>
      </c>
      <c r="D307">
        <v>26.45</v>
      </c>
      <c r="E307" s="2">
        <v>3936.97</v>
      </c>
      <c r="F307" s="3">
        <f t="shared" si="32"/>
        <v>-2.5784480661639408E-2</v>
      </c>
      <c r="G307" s="3">
        <f t="shared" si="33"/>
        <v>-4.580690627202233E-3</v>
      </c>
      <c r="H307" s="3">
        <f t="shared" si="34"/>
        <v>1.0313216195569019E-2</v>
      </c>
      <c r="I307" s="3">
        <f t="shared" si="35"/>
        <v>-1.646318766285193E-2</v>
      </c>
      <c r="J307" s="12">
        <v>0.17</v>
      </c>
      <c r="K307" s="11">
        <v>0.2</v>
      </c>
      <c r="L307" s="13">
        <v>-0.11</v>
      </c>
      <c r="M307" s="20">
        <v>1.2E-2</v>
      </c>
      <c r="N307" s="20">
        <f t="shared" si="36"/>
        <v>-3.7784480661639405E-2</v>
      </c>
      <c r="O307" s="20">
        <f t="shared" si="37"/>
        <v>-1.6867838044309809E-3</v>
      </c>
      <c r="P307" s="20">
        <f t="shared" si="38"/>
        <v>-1.6580690627202233E-2</v>
      </c>
      <c r="Q307" s="20">
        <f t="shared" si="39"/>
        <v>-2.846318766285193E-2</v>
      </c>
    </row>
    <row r="308" spans="1:17" x14ac:dyDescent="0.2">
      <c r="A308" s="1">
        <v>45008</v>
      </c>
      <c r="B308">
        <v>119.82</v>
      </c>
      <c r="C308">
        <v>56.38</v>
      </c>
      <c r="D308">
        <v>27.17</v>
      </c>
      <c r="E308" s="2">
        <v>3948.72</v>
      </c>
      <c r="F308" s="3">
        <f t="shared" si="32"/>
        <v>-2.7465667915107517E-3</v>
      </c>
      <c r="G308" s="3">
        <f t="shared" si="33"/>
        <v>-2.1238938053096401E-3</v>
      </c>
      <c r="H308" s="3">
        <f t="shared" si="34"/>
        <v>2.7221172022684481E-2</v>
      </c>
      <c r="I308" s="3">
        <f t="shared" si="35"/>
        <v>2.9845287111662788E-3</v>
      </c>
      <c r="J308" s="11">
        <v>0.4</v>
      </c>
      <c r="K308" s="13">
        <v>-0.52</v>
      </c>
      <c r="L308" s="12">
        <v>0.31</v>
      </c>
      <c r="M308" s="20">
        <v>1.2E-2</v>
      </c>
      <c r="N308" s="20">
        <f t="shared" si="36"/>
        <v>-1.4746566791510752E-2</v>
      </c>
      <c r="O308" s="20">
        <f t="shared" si="37"/>
        <v>1.5221172022684481E-2</v>
      </c>
      <c r="P308" s="20">
        <f t="shared" si="38"/>
        <v>-1.412389380530964E-2</v>
      </c>
      <c r="Q308" s="20">
        <f t="shared" si="39"/>
        <v>-9.0154712888337214E-3</v>
      </c>
    </row>
    <row r="309" spans="1:17" x14ac:dyDescent="0.2">
      <c r="A309" s="1">
        <v>45009</v>
      </c>
      <c r="B309">
        <v>118</v>
      </c>
      <c r="C309">
        <v>57.3</v>
      </c>
      <c r="D309">
        <v>26.76</v>
      </c>
      <c r="E309" s="2">
        <v>3970.99</v>
      </c>
      <c r="F309" s="3">
        <f t="shared" si="32"/>
        <v>-1.5189450842930996E-2</v>
      </c>
      <c r="G309" s="3">
        <f t="shared" si="33"/>
        <v>1.6317843206810734E-2</v>
      </c>
      <c r="H309" s="3">
        <f t="shared" si="34"/>
        <v>-1.5090172984909778E-2</v>
      </c>
      <c r="I309" s="3">
        <f t="shared" si="35"/>
        <v>5.6398022650376856E-3</v>
      </c>
      <c r="J309" s="12">
        <v>0.33</v>
      </c>
      <c r="K309" s="14">
        <v>-0.4</v>
      </c>
      <c r="L309" s="12">
        <v>0.49</v>
      </c>
      <c r="M309" s="20">
        <v>1.2E-2</v>
      </c>
      <c r="N309" s="20">
        <f t="shared" si="36"/>
        <v>-2.7189450842930996E-2</v>
      </c>
      <c r="O309" s="20">
        <f t="shared" si="37"/>
        <v>-2.7090172984909778E-2</v>
      </c>
      <c r="P309" s="20">
        <f t="shared" si="38"/>
        <v>4.3178432068107335E-3</v>
      </c>
      <c r="Q309" s="20">
        <f t="shared" si="39"/>
        <v>-6.3601977349623147E-3</v>
      </c>
    </row>
    <row r="310" spans="1:17" x14ac:dyDescent="0.2">
      <c r="A310" s="1">
        <v>45012</v>
      </c>
      <c r="B310">
        <v>121.38</v>
      </c>
      <c r="C310">
        <v>57.73</v>
      </c>
      <c r="D310">
        <v>26.51</v>
      </c>
      <c r="E310" s="2">
        <v>3977.53</v>
      </c>
      <c r="F310" s="3">
        <f t="shared" si="32"/>
        <v>2.8644067796610218E-2</v>
      </c>
      <c r="G310" s="3">
        <f t="shared" si="33"/>
        <v>7.5043630017452845E-3</v>
      </c>
      <c r="H310" s="3">
        <f t="shared" si="34"/>
        <v>-9.3423019431988497E-3</v>
      </c>
      <c r="I310" s="3">
        <f t="shared" si="35"/>
        <v>1.6469444647304599E-3</v>
      </c>
      <c r="J310" s="12">
        <v>0.27</v>
      </c>
      <c r="K310" s="12">
        <v>0.18</v>
      </c>
      <c r="L310" s="13">
        <v>-0.12</v>
      </c>
      <c r="M310" s="20">
        <v>1.2E-2</v>
      </c>
      <c r="N310" s="20">
        <f t="shared" si="36"/>
        <v>1.6644067796610217E-2</v>
      </c>
      <c r="O310" s="20">
        <f t="shared" si="37"/>
        <v>-2.134230194319885E-2</v>
      </c>
      <c r="P310" s="20">
        <f t="shared" si="38"/>
        <v>-4.4956369982547158E-3</v>
      </c>
      <c r="Q310" s="20">
        <f t="shared" si="39"/>
        <v>-1.035305553526954E-2</v>
      </c>
    </row>
    <row r="311" spans="1:17" x14ac:dyDescent="0.2">
      <c r="A311" s="1">
        <v>45013</v>
      </c>
      <c r="B311">
        <v>121.75</v>
      </c>
      <c r="C311">
        <v>57.79</v>
      </c>
      <c r="D311">
        <v>26.39</v>
      </c>
      <c r="E311" s="2">
        <v>3971.27</v>
      </c>
      <c r="F311" s="3">
        <f t="shared" si="32"/>
        <v>3.0482781347833665E-3</v>
      </c>
      <c r="G311" s="3">
        <f t="shared" si="33"/>
        <v>1.0393209769616885E-3</v>
      </c>
      <c r="H311" s="3">
        <f t="shared" si="34"/>
        <v>-4.5265937382120702E-3</v>
      </c>
      <c r="I311" s="3">
        <f t="shared" si="35"/>
        <v>-1.5738410521103363E-3</v>
      </c>
      <c r="J311" s="12">
        <v>0.42</v>
      </c>
      <c r="K311" s="13">
        <v>-0.04</v>
      </c>
      <c r="L311" s="14">
        <v>-0.8</v>
      </c>
      <c r="M311" s="20">
        <v>1.2E-2</v>
      </c>
      <c r="N311" s="20">
        <f t="shared" si="36"/>
        <v>-8.9517218652166337E-3</v>
      </c>
      <c r="O311" s="20">
        <f t="shared" si="37"/>
        <v>-1.652659373821207E-2</v>
      </c>
      <c r="P311" s="20">
        <f t="shared" si="38"/>
        <v>-1.0960679023038312E-2</v>
      </c>
      <c r="Q311" s="20">
        <f t="shared" si="39"/>
        <v>-1.3573841052110337E-2</v>
      </c>
    </row>
    <row r="312" spans="1:17" x14ac:dyDescent="0.2">
      <c r="A312" s="1">
        <v>45014</v>
      </c>
      <c r="B312">
        <v>122</v>
      </c>
      <c r="C312">
        <v>58.21</v>
      </c>
      <c r="D312">
        <v>26.97</v>
      </c>
      <c r="E312" s="2">
        <v>4027.81</v>
      </c>
      <c r="F312" s="3">
        <f t="shared" si="32"/>
        <v>2.0533880903490509E-3</v>
      </c>
      <c r="G312" s="3">
        <f t="shared" si="33"/>
        <v>7.267693372555728E-3</v>
      </c>
      <c r="H312" s="3">
        <f t="shared" si="34"/>
        <v>2.19780219780219E-2</v>
      </c>
      <c r="I312" s="3">
        <f t="shared" si="35"/>
        <v>1.4237259113583312E-2</v>
      </c>
      <c r="J312" s="12">
        <v>0.26</v>
      </c>
      <c r="K312" s="12">
        <v>0.01</v>
      </c>
      <c r="L312" s="13">
        <v>-0.36</v>
      </c>
      <c r="M312" s="20">
        <v>1.2E-2</v>
      </c>
      <c r="N312" s="20">
        <f t="shared" si="36"/>
        <v>-9.9466119096509494E-3</v>
      </c>
      <c r="O312" s="20">
        <f t="shared" si="37"/>
        <v>9.9780219780218997E-3</v>
      </c>
      <c r="P312" s="20">
        <f t="shared" si="38"/>
        <v>-4.7323066274442722E-3</v>
      </c>
      <c r="Q312" s="20">
        <f t="shared" si="39"/>
        <v>2.2372591135833113E-3</v>
      </c>
    </row>
    <row r="313" spans="1:17" x14ac:dyDescent="0.2">
      <c r="A313" s="1">
        <v>45015</v>
      </c>
      <c r="B313">
        <v>121.63</v>
      </c>
      <c r="C313">
        <v>58.2</v>
      </c>
      <c r="D313">
        <v>27.37</v>
      </c>
      <c r="E313" s="2">
        <v>4050.83</v>
      </c>
      <c r="F313" s="3">
        <f t="shared" si="32"/>
        <v>-3.0327868852458861E-3</v>
      </c>
      <c r="G313" s="3">
        <f t="shared" si="33"/>
        <v>-1.7179178835247111E-4</v>
      </c>
      <c r="H313" s="3">
        <f t="shared" si="34"/>
        <v>1.4831294030404285E-2</v>
      </c>
      <c r="I313" s="3">
        <f t="shared" si="35"/>
        <v>5.7152646227105475E-3</v>
      </c>
      <c r="J313" s="12">
        <v>0.16</v>
      </c>
      <c r="K313" s="12">
        <v>0.12</v>
      </c>
      <c r="L313" s="12">
        <v>0.16</v>
      </c>
      <c r="M313" s="20">
        <v>1.2E-2</v>
      </c>
      <c r="N313" s="20">
        <f t="shared" si="36"/>
        <v>-1.5032786885245886E-2</v>
      </c>
      <c r="O313" s="20">
        <f t="shared" si="37"/>
        <v>2.8312940304042848E-3</v>
      </c>
      <c r="P313" s="20">
        <f t="shared" si="38"/>
        <v>-1.2171791788352471E-2</v>
      </c>
      <c r="Q313" s="20">
        <f t="shared" si="39"/>
        <v>-6.2847353772894528E-3</v>
      </c>
    </row>
    <row r="314" spans="1:17" x14ac:dyDescent="0.2">
      <c r="A314" s="1">
        <v>45016</v>
      </c>
      <c r="B314">
        <v>123.1</v>
      </c>
      <c r="C314">
        <v>58.37</v>
      </c>
      <c r="D314">
        <v>27.76</v>
      </c>
      <c r="E314" s="2">
        <v>4109.3100000000004</v>
      </c>
      <c r="F314" s="3">
        <f t="shared" si="32"/>
        <v>1.2085834086985159E-2</v>
      </c>
      <c r="G314" s="3">
        <f t="shared" si="33"/>
        <v>2.9209621993127044E-3</v>
      </c>
      <c r="H314" s="3">
        <f t="shared" si="34"/>
        <v>1.4249177932042389E-2</v>
      </c>
      <c r="I314" s="3">
        <f t="shared" si="35"/>
        <v>1.4436547571732294E-2</v>
      </c>
      <c r="J314" s="12">
        <v>0.18</v>
      </c>
      <c r="K314" s="13">
        <v>-0.15</v>
      </c>
      <c r="L314" s="12">
        <v>0.05</v>
      </c>
      <c r="M314" s="20">
        <v>1.2E-2</v>
      </c>
      <c r="N314" s="20">
        <f t="shared" si="36"/>
        <v>8.583408698515857E-5</v>
      </c>
      <c r="O314" s="20">
        <f t="shared" si="37"/>
        <v>2.2491779320423892E-3</v>
      </c>
      <c r="P314" s="20">
        <f t="shared" si="38"/>
        <v>-9.0790378006872959E-3</v>
      </c>
      <c r="Q314" s="20">
        <f t="shared" si="39"/>
        <v>2.4365475717322942E-3</v>
      </c>
    </row>
    <row r="315" spans="1:17" x14ac:dyDescent="0.2">
      <c r="A315" s="1">
        <v>45019</v>
      </c>
      <c r="B315">
        <v>122.96</v>
      </c>
      <c r="C315">
        <v>58.72</v>
      </c>
      <c r="D315">
        <v>27.95</v>
      </c>
      <c r="E315" s="2">
        <v>4124.51</v>
      </c>
      <c r="F315" s="3">
        <f t="shared" si="32"/>
        <v>-1.1372867587327029E-3</v>
      </c>
      <c r="G315" s="3">
        <f t="shared" si="33"/>
        <v>5.9962309405516834E-3</v>
      </c>
      <c r="H315" s="3">
        <f t="shared" si="34"/>
        <v>6.844380403458139E-3</v>
      </c>
      <c r="I315" s="3">
        <f t="shared" si="35"/>
        <v>3.6989178231867648E-3</v>
      </c>
      <c r="J315" s="12">
        <v>0.26</v>
      </c>
      <c r="K315" s="13">
        <v>-0.16</v>
      </c>
      <c r="L315" s="12">
        <v>0.39</v>
      </c>
      <c r="M315" s="20">
        <v>1.2E-2</v>
      </c>
      <c r="N315" s="20">
        <f t="shared" si="36"/>
        <v>-1.3137286758732703E-2</v>
      </c>
      <c r="O315" s="20">
        <f t="shared" si="37"/>
        <v>-5.1556195965418612E-3</v>
      </c>
      <c r="P315" s="20">
        <f t="shared" si="38"/>
        <v>-6.0037690594483169E-3</v>
      </c>
      <c r="Q315" s="20">
        <f t="shared" si="39"/>
        <v>-8.3010821768132355E-3</v>
      </c>
    </row>
    <row r="316" spans="1:17" x14ac:dyDescent="0.2">
      <c r="A316" s="1">
        <v>45020</v>
      </c>
      <c r="B316">
        <v>121.32</v>
      </c>
      <c r="C316">
        <v>58.54</v>
      </c>
      <c r="D316">
        <v>27.44</v>
      </c>
      <c r="E316" s="2">
        <v>4100.6000000000004</v>
      </c>
      <c r="F316" s="3">
        <f t="shared" si="32"/>
        <v>-1.3337670787247902E-2</v>
      </c>
      <c r="G316" s="3">
        <f t="shared" si="33"/>
        <v>-3.065395095367851E-3</v>
      </c>
      <c r="H316" s="3">
        <f t="shared" si="34"/>
        <v>-1.8246869409660027E-2</v>
      </c>
      <c r="I316" s="3">
        <f t="shared" si="35"/>
        <v>-5.7970522559043225E-3</v>
      </c>
      <c r="J316" s="12">
        <v>0.44</v>
      </c>
      <c r="K316" s="12">
        <v>0.12</v>
      </c>
      <c r="L316" s="13">
        <v>-0.75</v>
      </c>
      <c r="M316" s="20">
        <v>1.2E-2</v>
      </c>
      <c r="N316" s="20">
        <f t="shared" si="36"/>
        <v>-2.5337670787247902E-2</v>
      </c>
      <c r="O316" s="20">
        <f t="shared" si="37"/>
        <v>-3.0246869409660027E-2</v>
      </c>
      <c r="P316" s="20">
        <f t="shared" si="38"/>
        <v>-1.5065395095367851E-2</v>
      </c>
      <c r="Q316" s="20">
        <f t="shared" si="39"/>
        <v>-1.7797052255904323E-2</v>
      </c>
    </row>
    <row r="317" spans="1:17" x14ac:dyDescent="0.2">
      <c r="A317" s="1">
        <v>45021</v>
      </c>
      <c r="B317">
        <v>121.5</v>
      </c>
      <c r="C317">
        <v>59.09</v>
      </c>
      <c r="D317">
        <v>26.86</v>
      </c>
      <c r="E317" s="2">
        <v>4090.38</v>
      </c>
      <c r="F317" s="3">
        <f t="shared" si="32"/>
        <v>1.4836795252226587E-3</v>
      </c>
      <c r="G317" s="3">
        <f t="shared" si="33"/>
        <v>9.3952852750256444E-3</v>
      </c>
      <c r="H317" s="3">
        <f t="shared" si="34"/>
        <v>-2.1137026239067103E-2</v>
      </c>
      <c r="I317" s="3">
        <f t="shared" si="35"/>
        <v>-2.4923181973370845E-3</v>
      </c>
      <c r="J317" s="13">
        <v>-0.04</v>
      </c>
      <c r="K317" s="12">
        <v>0.12</v>
      </c>
      <c r="L317" s="13">
        <v>-0.52</v>
      </c>
      <c r="M317" s="20">
        <v>1.2E-2</v>
      </c>
      <c r="N317" s="20">
        <f t="shared" si="36"/>
        <v>-1.0516320474777342E-2</v>
      </c>
      <c r="O317" s="20">
        <f t="shared" si="37"/>
        <v>-3.3137026239067099E-2</v>
      </c>
      <c r="P317" s="20">
        <f t="shared" si="38"/>
        <v>-2.6047147249743559E-3</v>
      </c>
      <c r="Q317" s="20">
        <f t="shared" si="39"/>
        <v>-1.4492318197337085E-2</v>
      </c>
    </row>
    <row r="318" spans="1:17" x14ac:dyDescent="0.2">
      <c r="A318" s="1">
        <v>45022</v>
      </c>
      <c r="B318">
        <v>121.36</v>
      </c>
      <c r="C318">
        <v>59.13</v>
      </c>
      <c r="D318">
        <v>27.02</v>
      </c>
      <c r="E318" s="2">
        <v>4105.0200000000004</v>
      </c>
      <c r="F318" s="3">
        <f t="shared" si="32"/>
        <v>-1.1522633744855959E-3</v>
      </c>
      <c r="G318" s="3">
        <f t="shared" si="33"/>
        <v>6.7693349128439273E-4</v>
      </c>
      <c r="H318" s="3">
        <f t="shared" si="34"/>
        <v>5.9568131049887452E-3</v>
      </c>
      <c r="I318" s="3">
        <f t="shared" si="35"/>
        <v>3.5791295674241219E-3</v>
      </c>
      <c r="J318" s="13">
        <v>-0.05</v>
      </c>
      <c r="K318" s="13">
        <v>-0.09</v>
      </c>
      <c r="L318" s="13">
        <v>-0.25</v>
      </c>
      <c r="M318" s="20">
        <v>1.2E-2</v>
      </c>
      <c r="N318" s="20">
        <f t="shared" si="36"/>
        <v>-1.3152263374485596E-2</v>
      </c>
      <c r="O318" s="20">
        <f t="shared" si="37"/>
        <v>-6.0431868950112551E-3</v>
      </c>
      <c r="P318" s="20">
        <f t="shared" si="38"/>
        <v>-1.1323066508715608E-2</v>
      </c>
      <c r="Q318" s="20">
        <f t="shared" si="39"/>
        <v>-8.4208704325758783E-3</v>
      </c>
    </row>
    <row r="319" spans="1:17" x14ac:dyDescent="0.2">
      <c r="A319" s="1">
        <v>45026</v>
      </c>
      <c r="B319">
        <v>121.76</v>
      </c>
      <c r="C319">
        <v>58.99</v>
      </c>
      <c r="D319">
        <v>27.56</v>
      </c>
      <c r="E319" s="2">
        <v>4109.1099999999997</v>
      </c>
      <c r="F319" s="3">
        <f t="shared" si="32"/>
        <v>3.2959789057349642E-3</v>
      </c>
      <c r="G319" s="3">
        <f t="shared" si="33"/>
        <v>-2.367664468121089E-3</v>
      </c>
      <c r="H319" s="3">
        <f t="shared" si="34"/>
        <v>1.998519615099914E-2</v>
      </c>
      <c r="I319" s="3">
        <f t="shared" si="35"/>
        <v>9.9634106532953126E-4</v>
      </c>
      <c r="J319" s="12">
        <v>0.17</v>
      </c>
      <c r="K319" s="12">
        <v>0.16</v>
      </c>
      <c r="L319" s="12">
        <v>0.17</v>
      </c>
      <c r="M319" s="20">
        <v>1.2E-2</v>
      </c>
      <c r="N319" s="20">
        <f t="shared" si="36"/>
        <v>-8.704021094265036E-3</v>
      </c>
      <c r="O319" s="20">
        <f t="shared" si="37"/>
        <v>7.9851961509991402E-3</v>
      </c>
      <c r="P319" s="20">
        <f t="shared" si="38"/>
        <v>-1.4367664468121089E-2</v>
      </c>
      <c r="Q319" s="20">
        <f t="shared" si="39"/>
        <v>-1.1003658934670469E-2</v>
      </c>
    </row>
    <row r="320" spans="1:17" x14ac:dyDescent="0.2">
      <c r="A320" s="1">
        <v>45027</v>
      </c>
      <c r="B320">
        <v>122.36</v>
      </c>
      <c r="C320">
        <v>58.89</v>
      </c>
      <c r="D320">
        <v>27.15</v>
      </c>
      <c r="E320" s="2">
        <v>4108.9399999999996</v>
      </c>
      <c r="F320" s="3">
        <f t="shared" si="32"/>
        <v>4.9277266754270688E-3</v>
      </c>
      <c r="G320" s="3">
        <f t="shared" si="33"/>
        <v>-1.6952025767079659E-3</v>
      </c>
      <c r="H320" s="3">
        <f t="shared" si="34"/>
        <v>-1.4876632801161138E-2</v>
      </c>
      <c r="I320" s="3">
        <f t="shared" si="35"/>
        <v>-4.1371489203245737E-5</v>
      </c>
      <c r="J320" s="12">
        <v>0.41</v>
      </c>
      <c r="K320" s="13">
        <v>-0.36</v>
      </c>
      <c r="L320" s="12">
        <v>0.04</v>
      </c>
      <c r="M320" s="20">
        <v>1.2E-2</v>
      </c>
      <c r="N320" s="20">
        <f t="shared" si="36"/>
        <v>-7.0722733245729315E-3</v>
      </c>
      <c r="O320" s="20">
        <f t="shared" si="37"/>
        <v>-2.6876632801161138E-2</v>
      </c>
      <c r="P320" s="20">
        <f t="shared" si="38"/>
        <v>-1.3695202576707966E-2</v>
      </c>
      <c r="Q320" s="20">
        <f t="shared" si="39"/>
        <v>-1.2041371489203246E-2</v>
      </c>
    </row>
    <row r="321" spans="1:17" x14ac:dyDescent="0.2">
      <c r="A321" s="1">
        <v>45028</v>
      </c>
      <c r="B321">
        <v>122.34</v>
      </c>
      <c r="C321">
        <v>58.99</v>
      </c>
      <c r="D321">
        <v>26.48</v>
      </c>
      <c r="E321" s="2">
        <v>4091.95</v>
      </c>
      <c r="F321" s="3">
        <f t="shared" si="32"/>
        <v>-1.6345210853219161E-4</v>
      </c>
      <c r="G321" s="3">
        <f t="shared" si="33"/>
        <v>1.6980811682798524E-3</v>
      </c>
      <c r="H321" s="3">
        <f t="shared" si="34"/>
        <v>-2.4677716390423488E-2</v>
      </c>
      <c r="I321" s="3">
        <f t="shared" si="35"/>
        <v>-4.1348863697205918E-3</v>
      </c>
      <c r="J321" s="12">
        <v>0.25</v>
      </c>
      <c r="K321" s="13">
        <v>-0.27</v>
      </c>
      <c r="L321" s="13">
        <v>-0.18</v>
      </c>
      <c r="M321" s="20">
        <v>1.2E-2</v>
      </c>
      <c r="N321" s="20">
        <f t="shared" si="36"/>
        <v>-1.2163452108532192E-2</v>
      </c>
      <c r="O321" s="20">
        <f t="shared" si="37"/>
        <v>-3.6677716390423484E-2</v>
      </c>
      <c r="P321" s="20">
        <f t="shared" si="38"/>
        <v>-1.0301918831720148E-2</v>
      </c>
      <c r="Q321" s="20">
        <f t="shared" si="39"/>
        <v>-1.6134886369720592E-2</v>
      </c>
    </row>
    <row r="322" spans="1:17" x14ac:dyDescent="0.2">
      <c r="A322" s="1">
        <v>45029</v>
      </c>
      <c r="B322">
        <v>122.81</v>
      </c>
      <c r="C322">
        <v>59.42</v>
      </c>
      <c r="D322">
        <v>26.45</v>
      </c>
      <c r="E322" s="2">
        <v>4146.22</v>
      </c>
      <c r="F322" s="3">
        <f t="shared" si="32"/>
        <v>3.8417524930520752E-3</v>
      </c>
      <c r="G322" s="3">
        <f t="shared" si="33"/>
        <v>7.2893710798440647E-3</v>
      </c>
      <c r="H322" s="3">
        <f t="shared" si="34"/>
        <v>-1.1329305135951984E-3</v>
      </c>
      <c r="I322" s="3">
        <f t="shared" si="35"/>
        <v>1.3262625398648753E-2</v>
      </c>
      <c r="J322" s="12">
        <v>7.0000000000000007E-2</v>
      </c>
      <c r="K322" s="13">
        <v>-0.53</v>
      </c>
      <c r="L322" s="13">
        <v>-0.06</v>
      </c>
      <c r="M322" s="20">
        <v>1.2E-2</v>
      </c>
      <c r="N322" s="20">
        <f t="shared" si="36"/>
        <v>-8.158247506947925E-3</v>
      </c>
      <c r="O322" s="20">
        <f t="shared" si="37"/>
        <v>-1.3132930513595199E-2</v>
      </c>
      <c r="P322" s="20">
        <f t="shared" si="38"/>
        <v>-4.7106289201559355E-3</v>
      </c>
      <c r="Q322" s="20">
        <f t="shared" si="39"/>
        <v>1.2626253986487528E-3</v>
      </c>
    </row>
    <row r="323" spans="1:17" x14ac:dyDescent="0.2">
      <c r="A323" s="1">
        <v>45030</v>
      </c>
      <c r="B323">
        <v>132.08000000000001</v>
      </c>
      <c r="C323">
        <v>59.33</v>
      </c>
      <c r="D323">
        <v>26.74</v>
      </c>
      <c r="E323" s="2">
        <v>4137.6400000000003</v>
      </c>
      <c r="F323" s="3">
        <f t="shared" si="32"/>
        <v>7.5482452569009206E-2</v>
      </c>
      <c r="G323" s="3">
        <f t="shared" si="33"/>
        <v>-1.5146415348368247E-3</v>
      </c>
      <c r="H323" s="3">
        <f t="shared" si="34"/>
        <v>1.096408317580333E-2</v>
      </c>
      <c r="I323" s="3">
        <f t="shared" si="35"/>
        <v>-2.0693547375681964E-3</v>
      </c>
      <c r="J323" s="12">
        <v>0.14000000000000001</v>
      </c>
      <c r="K323" s="13">
        <v>-0.27</v>
      </c>
      <c r="L323" s="13">
        <v>-0.21</v>
      </c>
      <c r="M323" s="20">
        <v>1.2E-2</v>
      </c>
      <c r="N323" s="20">
        <f t="shared" si="36"/>
        <v>6.348245256900921E-2</v>
      </c>
      <c r="O323" s="20">
        <f t="shared" si="37"/>
        <v>-1.0359168241966706E-3</v>
      </c>
      <c r="P323" s="20">
        <f t="shared" si="38"/>
        <v>-1.3514641534836825E-2</v>
      </c>
      <c r="Q323" s="20">
        <f t="shared" si="39"/>
        <v>-1.4069354737568197E-2</v>
      </c>
    </row>
    <row r="324" spans="1:17" x14ac:dyDescent="0.2">
      <c r="A324" s="1">
        <v>45033</v>
      </c>
      <c r="B324">
        <v>133.13</v>
      </c>
      <c r="C324">
        <v>59.71</v>
      </c>
      <c r="D324">
        <v>26.98</v>
      </c>
      <c r="E324" s="2">
        <v>4151.32</v>
      </c>
      <c r="F324" s="3">
        <f t="shared" ref="F324:F387" si="40">(B324/B323)-1</f>
        <v>7.9497274379163319E-3</v>
      </c>
      <c r="G324" s="3">
        <f t="shared" ref="G324:G387" si="41">(C324/C323)-1</f>
        <v>6.4048542052925761E-3</v>
      </c>
      <c r="H324" s="3">
        <f t="shared" ref="H324:H387" si="42">(D324/D323)-1</f>
        <v>8.9753178758416041E-3</v>
      </c>
      <c r="I324" s="3">
        <f t="shared" ref="I324:I387" si="43">(E324/E323)-1</f>
        <v>3.3062325383550473E-3</v>
      </c>
      <c r="J324" s="12">
        <v>0.47</v>
      </c>
      <c r="K324" s="13">
        <v>-0.28000000000000003</v>
      </c>
      <c r="L324" s="12">
        <v>0.23</v>
      </c>
      <c r="M324" s="20">
        <v>1.2E-2</v>
      </c>
      <c r="N324" s="20">
        <f t="shared" ref="N324:N387" si="44">F324-M324</f>
        <v>-4.0502725620836684E-3</v>
      </c>
      <c r="O324" s="20">
        <f t="shared" ref="O324:O387" si="45">H324-M324</f>
        <v>-3.0246821241583961E-3</v>
      </c>
      <c r="P324" s="20">
        <f t="shared" ref="P324:P387" si="46">G324-M324</f>
        <v>-5.5951457947074242E-3</v>
      </c>
      <c r="Q324" s="20">
        <f t="shared" ref="Q324:Q387" si="47">I324-M324</f>
        <v>-8.693767461644953E-3</v>
      </c>
    </row>
    <row r="325" spans="1:17" x14ac:dyDescent="0.2">
      <c r="A325" s="1">
        <v>45034</v>
      </c>
      <c r="B325">
        <v>134.63</v>
      </c>
      <c r="C325">
        <v>59.81</v>
      </c>
      <c r="D325">
        <v>27.65</v>
      </c>
      <c r="E325" s="2">
        <v>4154.87</v>
      </c>
      <c r="F325" s="3">
        <f t="shared" si="40"/>
        <v>1.1267182453241098E-2</v>
      </c>
      <c r="G325" s="3">
        <f t="shared" si="41"/>
        <v>1.6747613465082356E-3</v>
      </c>
      <c r="H325" s="3">
        <f t="shared" si="42"/>
        <v>2.48332097850259E-2</v>
      </c>
      <c r="I325" s="3">
        <f t="shared" si="43"/>
        <v>8.5514968732836039E-4</v>
      </c>
      <c r="J325" s="12">
        <v>0.47</v>
      </c>
      <c r="K325" s="13">
        <v>-0.77</v>
      </c>
      <c r="L325" s="12">
        <v>0.22</v>
      </c>
      <c r="M325" s="20">
        <v>1.2E-2</v>
      </c>
      <c r="N325" s="20">
        <f t="shared" si="44"/>
        <v>-7.3281754675890223E-4</v>
      </c>
      <c r="O325" s="20">
        <f t="shared" si="45"/>
        <v>1.28332097850259E-2</v>
      </c>
      <c r="P325" s="20">
        <f t="shared" si="46"/>
        <v>-1.0325238653491765E-2</v>
      </c>
      <c r="Q325" s="20">
        <f t="shared" si="47"/>
        <v>-1.114485031267164E-2</v>
      </c>
    </row>
    <row r="326" spans="1:17" x14ac:dyDescent="0.2">
      <c r="A326" s="1">
        <v>45035</v>
      </c>
      <c r="B326">
        <v>134.46</v>
      </c>
      <c r="C326">
        <v>59.92</v>
      </c>
      <c r="D326">
        <v>27.91</v>
      </c>
      <c r="E326" s="2">
        <v>4154.5200000000004</v>
      </c>
      <c r="F326" s="3">
        <f t="shared" si="40"/>
        <v>-1.2627200475375799E-3</v>
      </c>
      <c r="G326" s="3">
        <f t="shared" si="41"/>
        <v>1.8391573315499343E-3</v>
      </c>
      <c r="H326" s="3">
        <f t="shared" si="42"/>
        <v>9.4032549728753079E-3</v>
      </c>
      <c r="I326" s="3">
        <f t="shared" si="43"/>
        <v>-8.4238496029787058E-5</v>
      </c>
      <c r="J326" s="12">
        <v>0.54</v>
      </c>
      <c r="K326" s="13">
        <v>-0.22</v>
      </c>
      <c r="L326" s="12">
        <v>0.08</v>
      </c>
      <c r="M326" s="21">
        <v>0.01</v>
      </c>
      <c r="N326" s="20">
        <f t="shared" si="44"/>
        <v>-1.126272004753758E-2</v>
      </c>
      <c r="O326" s="20">
        <f t="shared" si="45"/>
        <v>-5.9674502712469234E-4</v>
      </c>
      <c r="P326" s="20">
        <f t="shared" si="46"/>
        <v>-8.1608426684500659E-3</v>
      </c>
      <c r="Q326" s="20">
        <f t="shared" si="47"/>
        <v>-1.0084238496029787E-2</v>
      </c>
    </row>
    <row r="327" spans="1:17" x14ac:dyDescent="0.2">
      <c r="A327" s="1">
        <v>45036</v>
      </c>
      <c r="B327">
        <v>134.07</v>
      </c>
      <c r="C327">
        <v>60.18</v>
      </c>
      <c r="D327">
        <v>27.09</v>
      </c>
      <c r="E327" s="2">
        <v>4129.79</v>
      </c>
      <c r="F327" s="3">
        <f t="shared" si="40"/>
        <v>-2.9004908522981543E-3</v>
      </c>
      <c r="G327" s="3">
        <f t="shared" si="41"/>
        <v>4.3391188251000745E-3</v>
      </c>
      <c r="H327" s="3">
        <f t="shared" si="42"/>
        <v>-2.9380150483697576E-2</v>
      </c>
      <c r="I327" s="3">
        <f t="shared" si="43"/>
        <v>-5.952552882162232E-3</v>
      </c>
      <c r="J327" s="12">
        <v>0.62</v>
      </c>
      <c r="K327" s="14">
        <v>-0.4</v>
      </c>
      <c r="L327" s="13">
        <v>-0.28000000000000003</v>
      </c>
      <c r="M327" s="21">
        <v>0.01</v>
      </c>
      <c r="N327" s="20">
        <f t="shared" si="44"/>
        <v>-1.2900490852298154E-2</v>
      </c>
      <c r="O327" s="20">
        <f t="shared" si="45"/>
        <v>-3.9380150483697578E-2</v>
      </c>
      <c r="P327" s="20">
        <f t="shared" si="46"/>
        <v>-5.6608811748999257E-3</v>
      </c>
      <c r="Q327" s="20">
        <f t="shared" si="47"/>
        <v>-1.5952552882162234E-2</v>
      </c>
    </row>
    <row r="328" spans="1:17" x14ac:dyDescent="0.2">
      <c r="A328" s="1">
        <v>45037</v>
      </c>
      <c r="B328">
        <v>133.81</v>
      </c>
      <c r="C328">
        <v>60.27</v>
      </c>
      <c r="D328">
        <v>27.1</v>
      </c>
      <c r="E328" s="2">
        <v>4133.5200000000004</v>
      </c>
      <c r="F328" s="3">
        <f t="shared" si="40"/>
        <v>-1.9392854479002297E-3</v>
      </c>
      <c r="G328" s="3">
        <f t="shared" si="41"/>
        <v>1.4955134596212893E-3</v>
      </c>
      <c r="H328" s="3">
        <f t="shared" si="42"/>
        <v>3.6913990402376307E-4</v>
      </c>
      <c r="I328" s="3">
        <f t="shared" si="43"/>
        <v>9.0319362485757893E-4</v>
      </c>
      <c r="J328" s="13">
        <v>-0.65</v>
      </c>
      <c r="K328" s="12">
        <v>0.45</v>
      </c>
      <c r="L328" s="13">
        <v>-0.46</v>
      </c>
      <c r="M328" s="21">
        <v>0.01</v>
      </c>
      <c r="N328" s="20">
        <f t="shared" si="44"/>
        <v>-1.193928544790023E-2</v>
      </c>
      <c r="O328" s="20">
        <f t="shared" si="45"/>
        <v>-9.6308600959762371E-3</v>
      </c>
      <c r="P328" s="20">
        <f t="shared" si="46"/>
        <v>-8.5044865403787109E-3</v>
      </c>
      <c r="Q328" s="20">
        <f t="shared" si="47"/>
        <v>-9.0968063751424213E-3</v>
      </c>
    </row>
    <row r="329" spans="1:17" x14ac:dyDescent="0.2">
      <c r="A329" s="1">
        <v>45040</v>
      </c>
      <c r="B329">
        <v>133.99</v>
      </c>
      <c r="C329">
        <v>60.17</v>
      </c>
      <c r="D329">
        <v>27.02</v>
      </c>
      <c r="E329" s="2">
        <v>4137.04</v>
      </c>
      <c r="F329" s="3">
        <f t="shared" si="40"/>
        <v>1.3451909423809472E-3</v>
      </c>
      <c r="G329" s="3">
        <f t="shared" si="41"/>
        <v>-1.6592002654720606E-3</v>
      </c>
      <c r="H329" s="3">
        <f t="shared" si="42"/>
        <v>-2.952029520295274E-3</v>
      </c>
      <c r="I329" s="3">
        <f t="shared" si="43"/>
        <v>8.5157444502503843E-4</v>
      </c>
      <c r="J329" s="12">
        <v>0.93</v>
      </c>
      <c r="K329" s="14">
        <v>-0.3</v>
      </c>
      <c r="L329" s="12">
        <v>0.11</v>
      </c>
      <c r="M329" s="21">
        <v>0.01</v>
      </c>
      <c r="N329" s="20">
        <f t="shared" si="44"/>
        <v>-8.654809057619053E-3</v>
      </c>
      <c r="O329" s="20">
        <f t="shared" si="45"/>
        <v>-1.2952029520295274E-2</v>
      </c>
      <c r="P329" s="20">
        <f t="shared" si="46"/>
        <v>-1.1659200265472061E-2</v>
      </c>
      <c r="Q329" s="20">
        <f t="shared" si="47"/>
        <v>-9.1484255549749618E-3</v>
      </c>
    </row>
    <row r="330" spans="1:17" x14ac:dyDescent="0.2">
      <c r="A330" s="1">
        <v>45041</v>
      </c>
      <c r="B330">
        <v>131.08000000000001</v>
      </c>
      <c r="C330">
        <v>60.08</v>
      </c>
      <c r="D330">
        <v>26.22</v>
      </c>
      <c r="E330" s="2">
        <v>4071.63</v>
      </c>
      <c r="F330" s="3">
        <f t="shared" si="40"/>
        <v>-2.1718038659601424E-2</v>
      </c>
      <c r="G330" s="3">
        <f t="shared" si="41"/>
        <v>-1.4957620076450073E-3</v>
      </c>
      <c r="H330" s="3">
        <f t="shared" si="42"/>
        <v>-2.9607698001480443E-2</v>
      </c>
      <c r="I330" s="3">
        <f t="shared" si="43"/>
        <v>-1.5810821263512076E-2</v>
      </c>
      <c r="J330" s="13">
        <v>-0.59</v>
      </c>
      <c r="K330" s="12">
        <v>0.32</v>
      </c>
      <c r="L330" s="13">
        <v>-0.41</v>
      </c>
      <c r="M330" s="21">
        <v>0.01</v>
      </c>
      <c r="N330" s="20">
        <f t="shared" si="44"/>
        <v>-3.1718038659601426E-2</v>
      </c>
      <c r="O330" s="20">
        <f t="shared" si="45"/>
        <v>-3.9607698001480444E-2</v>
      </c>
      <c r="P330" s="20">
        <f t="shared" si="46"/>
        <v>-1.1495762007645008E-2</v>
      </c>
      <c r="Q330" s="20">
        <f t="shared" si="47"/>
        <v>-2.5810821263512078E-2</v>
      </c>
    </row>
    <row r="331" spans="1:17" x14ac:dyDescent="0.2">
      <c r="A331" s="1">
        <v>45042</v>
      </c>
      <c r="B331">
        <v>128.75</v>
      </c>
      <c r="C331">
        <v>59.8</v>
      </c>
      <c r="D331">
        <v>26.94</v>
      </c>
      <c r="E331" s="2">
        <v>4055.99</v>
      </c>
      <c r="F331" s="3">
        <f t="shared" si="40"/>
        <v>-1.7775404333231659E-2</v>
      </c>
      <c r="G331" s="3">
        <f t="shared" si="41"/>
        <v>-4.6604527296937315E-3</v>
      </c>
      <c r="H331" s="3">
        <f t="shared" si="42"/>
        <v>2.7459954233409745E-2</v>
      </c>
      <c r="I331" s="3">
        <f t="shared" si="43"/>
        <v>-3.8412134697898281E-3</v>
      </c>
      <c r="J331" s="13">
        <v>-0.11</v>
      </c>
      <c r="K331" s="12">
        <v>0.09</v>
      </c>
      <c r="L331" s="13">
        <v>-0.35</v>
      </c>
      <c r="M331" s="21">
        <v>0.01</v>
      </c>
      <c r="N331" s="20">
        <f t="shared" si="44"/>
        <v>-2.7775404333231661E-2</v>
      </c>
      <c r="O331" s="20">
        <f t="shared" si="45"/>
        <v>1.7459954233409743E-2</v>
      </c>
      <c r="P331" s="20">
        <f t="shared" si="46"/>
        <v>-1.4660452729693732E-2</v>
      </c>
      <c r="Q331" s="20">
        <f t="shared" si="47"/>
        <v>-1.3841213469789828E-2</v>
      </c>
    </row>
    <row r="332" spans="1:17" x14ac:dyDescent="0.2">
      <c r="A332" s="1">
        <v>45043</v>
      </c>
      <c r="B332">
        <v>130.49</v>
      </c>
      <c r="C332">
        <v>59.92</v>
      </c>
      <c r="D332">
        <v>27.21</v>
      </c>
      <c r="E332" s="2">
        <v>4135.3500000000004</v>
      </c>
      <c r="F332" s="3">
        <f t="shared" si="40"/>
        <v>1.3514563106796107E-2</v>
      </c>
      <c r="G332" s="3">
        <f t="shared" si="41"/>
        <v>2.0066889632108786E-3</v>
      </c>
      <c r="H332" s="3">
        <f t="shared" si="42"/>
        <v>1.0022271714922093E-2</v>
      </c>
      <c r="I332" s="3">
        <f t="shared" si="43"/>
        <v>1.9566123190639217E-2</v>
      </c>
      <c r="J332" s="17">
        <v>-1.08</v>
      </c>
      <c r="K332" s="12">
        <v>0.61</v>
      </c>
      <c r="L332" s="13">
        <v>-0.53</v>
      </c>
      <c r="M332" s="21">
        <v>0.01</v>
      </c>
      <c r="N332" s="20">
        <f t="shared" si="44"/>
        <v>3.5145631067961067E-3</v>
      </c>
      <c r="O332" s="20">
        <f t="shared" si="45"/>
        <v>2.2271714922092803E-5</v>
      </c>
      <c r="P332" s="20">
        <f t="shared" si="46"/>
        <v>-7.9933110367891216E-3</v>
      </c>
      <c r="Q332" s="20">
        <f t="shared" si="47"/>
        <v>9.5661231906392172E-3</v>
      </c>
    </row>
    <row r="333" spans="1:17" x14ac:dyDescent="0.2">
      <c r="A333" s="1">
        <v>45044</v>
      </c>
      <c r="B333">
        <v>131.62</v>
      </c>
      <c r="C333">
        <v>60.36</v>
      </c>
      <c r="D333">
        <v>27.73</v>
      </c>
      <c r="E333" s="2">
        <v>4169.4799999999996</v>
      </c>
      <c r="F333" s="3">
        <f t="shared" si="40"/>
        <v>8.6596674074641555E-3</v>
      </c>
      <c r="G333" s="3">
        <f t="shared" si="41"/>
        <v>7.3431241655539381E-3</v>
      </c>
      <c r="H333" s="3">
        <f t="shared" si="42"/>
        <v>1.9110621095185687E-2</v>
      </c>
      <c r="I333" s="3">
        <f t="shared" si="43"/>
        <v>8.2532312863479174E-3</v>
      </c>
      <c r="J333" s="12">
        <v>0.94</v>
      </c>
      <c r="K333" s="13">
        <v>-0.16</v>
      </c>
      <c r="L333" s="12">
        <v>0.47</v>
      </c>
      <c r="M333" s="21">
        <v>0.01</v>
      </c>
      <c r="N333" s="20">
        <f t="shared" si="44"/>
        <v>-1.3403325925358447E-3</v>
      </c>
      <c r="O333" s="20">
        <f t="shared" si="45"/>
        <v>9.1106210951856868E-3</v>
      </c>
      <c r="P333" s="20">
        <f t="shared" si="46"/>
        <v>-2.6568758344460621E-3</v>
      </c>
      <c r="Q333" s="20">
        <f t="shared" si="47"/>
        <v>-1.7467687136520828E-3</v>
      </c>
    </row>
    <row r="334" spans="1:17" x14ac:dyDescent="0.2">
      <c r="A334" s="1">
        <v>45047</v>
      </c>
      <c r="B334">
        <v>134.44</v>
      </c>
      <c r="C334">
        <v>60.5</v>
      </c>
      <c r="D334">
        <v>28.89</v>
      </c>
      <c r="E334" s="2">
        <v>4167.87</v>
      </c>
      <c r="F334" s="3">
        <f t="shared" si="40"/>
        <v>2.1425315301625947E-2</v>
      </c>
      <c r="G334" s="3">
        <f t="shared" si="41"/>
        <v>2.3194168323392717E-3</v>
      </c>
      <c r="H334" s="3">
        <f t="shared" si="42"/>
        <v>4.1831950955643737E-2</v>
      </c>
      <c r="I334" s="3">
        <f t="shared" si="43"/>
        <v>-3.861392787588569E-4</v>
      </c>
      <c r="J334" s="12">
        <v>0.24</v>
      </c>
      <c r="K334" s="13">
        <v>-0.06</v>
      </c>
      <c r="L334" s="13">
        <v>-0.32</v>
      </c>
      <c r="M334" s="21">
        <v>0.01</v>
      </c>
      <c r="N334" s="20">
        <f t="shared" si="44"/>
        <v>1.1425315301625947E-2</v>
      </c>
      <c r="O334" s="20">
        <f t="shared" si="45"/>
        <v>3.1831950955643736E-2</v>
      </c>
      <c r="P334" s="20">
        <f t="shared" si="46"/>
        <v>-7.6805831676607286E-3</v>
      </c>
      <c r="Q334" s="20">
        <f t="shared" si="47"/>
        <v>-1.0386139278758857E-2</v>
      </c>
    </row>
    <row r="335" spans="1:17" x14ac:dyDescent="0.2">
      <c r="A335" s="1">
        <v>45048</v>
      </c>
      <c r="B335">
        <v>132.27000000000001</v>
      </c>
      <c r="C335">
        <v>60.23</v>
      </c>
      <c r="D335">
        <v>28.19</v>
      </c>
      <c r="E335" s="2">
        <v>4119.58</v>
      </c>
      <c r="F335" s="3">
        <f t="shared" si="40"/>
        <v>-1.6141029455519096E-2</v>
      </c>
      <c r="G335" s="3">
        <f t="shared" si="41"/>
        <v>-4.4628099173553704E-3</v>
      </c>
      <c r="H335" s="3">
        <f t="shared" si="42"/>
        <v>-2.4229837313949454E-2</v>
      </c>
      <c r="I335" s="3">
        <f t="shared" si="43"/>
        <v>-1.1586253889876552E-2</v>
      </c>
      <c r="J335" s="17">
        <v>-1.02</v>
      </c>
      <c r="K335" s="14">
        <v>-0.4</v>
      </c>
      <c r="L335" s="13">
        <v>-0.18</v>
      </c>
      <c r="M335" s="21">
        <v>0.01</v>
      </c>
      <c r="N335" s="20">
        <f t="shared" si="44"/>
        <v>-2.6141029455519098E-2</v>
      </c>
      <c r="O335" s="20">
        <f t="shared" si="45"/>
        <v>-3.4229837313949456E-2</v>
      </c>
      <c r="P335" s="20">
        <f t="shared" si="46"/>
        <v>-1.4462809917355371E-2</v>
      </c>
      <c r="Q335" s="20">
        <f t="shared" si="47"/>
        <v>-2.1586253889876554E-2</v>
      </c>
    </row>
    <row r="336" spans="1:17" x14ac:dyDescent="0.2">
      <c r="A336" s="1">
        <v>45049</v>
      </c>
      <c r="B336">
        <v>129.47</v>
      </c>
      <c r="C336">
        <v>59.89</v>
      </c>
      <c r="D336">
        <v>27.78</v>
      </c>
      <c r="E336" s="2">
        <v>4090.75</v>
      </c>
      <c r="F336" s="3">
        <f t="shared" si="40"/>
        <v>-2.116882135026843E-2</v>
      </c>
      <c r="G336" s="3">
        <f t="shared" si="41"/>
        <v>-5.6450273949858465E-3</v>
      </c>
      <c r="H336" s="3">
        <f t="shared" si="42"/>
        <v>-1.4544164597374953E-2</v>
      </c>
      <c r="I336" s="3">
        <f t="shared" si="43"/>
        <v>-6.9982862330625339E-3</v>
      </c>
      <c r="J336" s="17">
        <v>-1.57</v>
      </c>
      <c r="K336" s="13">
        <v>-0.39</v>
      </c>
      <c r="L336" s="13">
        <v>-0.95</v>
      </c>
      <c r="M336" s="21">
        <v>0.01</v>
      </c>
      <c r="N336" s="20">
        <f t="shared" si="44"/>
        <v>-3.1168821350268432E-2</v>
      </c>
      <c r="O336" s="20">
        <f t="shared" si="45"/>
        <v>-2.4544164597374955E-2</v>
      </c>
      <c r="P336" s="20">
        <f t="shared" si="46"/>
        <v>-1.5645027394985848E-2</v>
      </c>
      <c r="Q336" s="20">
        <f t="shared" si="47"/>
        <v>-1.6998286233062536E-2</v>
      </c>
    </row>
    <row r="337" spans="1:17" x14ac:dyDescent="0.2">
      <c r="A337" s="1">
        <v>45050</v>
      </c>
      <c r="B337">
        <v>127.7</v>
      </c>
      <c r="C337">
        <v>59.96</v>
      </c>
      <c r="D337">
        <v>27.54</v>
      </c>
      <c r="E337" s="2">
        <v>4061.22</v>
      </c>
      <c r="F337" s="3">
        <f t="shared" si="40"/>
        <v>-1.3671120722947405E-2</v>
      </c>
      <c r="G337" s="3">
        <f t="shared" si="41"/>
        <v>1.1688094840540675E-3</v>
      </c>
      <c r="H337" s="3">
        <f t="shared" si="42"/>
        <v>-8.6393088552916275E-3</v>
      </c>
      <c r="I337" s="3">
        <f t="shared" si="43"/>
        <v>-7.2187251726456569E-3</v>
      </c>
      <c r="J337" s="12">
        <v>0.89</v>
      </c>
      <c r="K337" s="13">
        <v>-0.23</v>
      </c>
      <c r="L337" s="12">
        <v>0.13</v>
      </c>
      <c r="M337" s="21">
        <v>0.01</v>
      </c>
      <c r="N337" s="20">
        <f t="shared" si="44"/>
        <v>-2.3671120722947407E-2</v>
      </c>
      <c r="O337" s="20">
        <f t="shared" si="45"/>
        <v>-1.8639308855291629E-2</v>
      </c>
      <c r="P337" s="20">
        <f t="shared" si="46"/>
        <v>-8.8311905159459327E-3</v>
      </c>
      <c r="Q337" s="20">
        <f t="shared" si="47"/>
        <v>-1.7218725172645659E-2</v>
      </c>
    </row>
    <row r="338" spans="1:17" x14ac:dyDescent="0.2">
      <c r="A338" s="1">
        <v>45051</v>
      </c>
      <c r="B338">
        <v>130.19</v>
      </c>
      <c r="C338">
        <v>60.24</v>
      </c>
      <c r="D338">
        <v>28.66</v>
      </c>
      <c r="E338" s="2">
        <v>4136.25</v>
      </c>
      <c r="F338" s="3">
        <f t="shared" si="40"/>
        <v>1.9498825371965456E-2</v>
      </c>
      <c r="G338" s="3">
        <f t="shared" si="41"/>
        <v>4.6697798532355783E-3</v>
      </c>
      <c r="H338" s="3">
        <f t="shared" si="42"/>
        <v>4.0668119099491751E-2</v>
      </c>
      <c r="I338" s="3">
        <f t="shared" si="43"/>
        <v>1.8474744042430657E-2</v>
      </c>
      <c r="J338" s="15">
        <v>1.26</v>
      </c>
      <c r="K338" s="13">
        <v>-0.03</v>
      </c>
      <c r="L338" s="12">
        <v>0.88</v>
      </c>
      <c r="M338" s="21">
        <v>0.01</v>
      </c>
      <c r="N338" s="20">
        <f t="shared" si="44"/>
        <v>9.4988253719654556E-3</v>
      </c>
      <c r="O338" s="20">
        <f t="shared" si="45"/>
        <v>3.0668119099491749E-2</v>
      </c>
      <c r="P338" s="20">
        <f t="shared" si="46"/>
        <v>-5.3302201467644219E-3</v>
      </c>
      <c r="Q338" s="20">
        <f t="shared" si="47"/>
        <v>8.4747440424306573E-3</v>
      </c>
    </row>
    <row r="339" spans="1:17" x14ac:dyDescent="0.2">
      <c r="A339" s="1">
        <v>45054</v>
      </c>
      <c r="B339">
        <v>130.5</v>
      </c>
      <c r="C339">
        <v>60.15</v>
      </c>
      <c r="D339">
        <v>29.13</v>
      </c>
      <c r="E339" s="2">
        <v>4138.12</v>
      </c>
      <c r="F339" s="3">
        <f t="shared" si="40"/>
        <v>2.3811352638452021E-3</v>
      </c>
      <c r="G339" s="3">
        <f t="shared" si="41"/>
        <v>-1.4940239043825798E-3</v>
      </c>
      <c r="H339" s="3">
        <f t="shared" si="42"/>
        <v>1.6399162595952532E-2</v>
      </c>
      <c r="I339" s="3">
        <f t="shared" si="43"/>
        <v>4.5210033242670811E-4</v>
      </c>
      <c r="J339" s="12">
        <v>0.62</v>
      </c>
      <c r="K339" s="12">
        <v>0.04</v>
      </c>
      <c r="L339" s="12">
        <v>0.08</v>
      </c>
      <c r="M339" s="21">
        <v>0.01</v>
      </c>
      <c r="N339" s="20">
        <f t="shared" si="44"/>
        <v>-7.6188647361547981E-3</v>
      </c>
      <c r="O339" s="20">
        <f t="shared" si="45"/>
        <v>6.399162595952532E-3</v>
      </c>
      <c r="P339" s="20">
        <f t="shared" si="46"/>
        <v>-1.149402390438258E-2</v>
      </c>
      <c r="Q339" s="20">
        <f t="shared" si="47"/>
        <v>-9.5478996675732921E-3</v>
      </c>
    </row>
    <row r="340" spans="1:17" x14ac:dyDescent="0.2">
      <c r="A340" s="1">
        <v>45055</v>
      </c>
      <c r="B340">
        <v>129.88</v>
      </c>
      <c r="C340">
        <v>59.65</v>
      </c>
      <c r="D340">
        <v>28.55</v>
      </c>
      <c r="E340" s="2">
        <v>4119.17</v>
      </c>
      <c r="F340" s="3">
        <f t="shared" si="40"/>
        <v>-4.750957854406157E-3</v>
      </c>
      <c r="G340" s="3">
        <f t="shared" si="41"/>
        <v>-8.3125519534497094E-3</v>
      </c>
      <c r="H340" s="3">
        <f t="shared" si="42"/>
        <v>-1.9910744936491587E-2</v>
      </c>
      <c r="I340" s="3">
        <f t="shared" si="43"/>
        <v>-4.5793742085777911E-3</v>
      </c>
      <c r="J340" s="12">
        <v>0.31</v>
      </c>
      <c r="K340" s="12">
        <v>0.51</v>
      </c>
      <c r="L340" s="13">
        <v>-0.15</v>
      </c>
      <c r="M340" s="21">
        <v>0.01</v>
      </c>
      <c r="N340" s="20">
        <f t="shared" si="44"/>
        <v>-1.4750957854406157E-2</v>
      </c>
      <c r="O340" s="20">
        <f t="shared" si="45"/>
        <v>-2.9910744936491589E-2</v>
      </c>
      <c r="P340" s="20">
        <f t="shared" si="46"/>
        <v>-1.8312551953449711E-2</v>
      </c>
      <c r="Q340" s="20">
        <f t="shared" si="47"/>
        <v>-1.4579374208577791E-2</v>
      </c>
    </row>
    <row r="341" spans="1:17" x14ac:dyDescent="0.2">
      <c r="A341" s="1">
        <v>45056</v>
      </c>
      <c r="B341">
        <v>129.94</v>
      </c>
      <c r="C341">
        <v>59.75</v>
      </c>
      <c r="D341">
        <v>28.87</v>
      </c>
      <c r="E341" s="2">
        <v>4137.6400000000003</v>
      </c>
      <c r="F341" s="3">
        <f t="shared" si="40"/>
        <v>4.6196489066829827E-4</v>
      </c>
      <c r="G341" s="3">
        <f t="shared" si="41"/>
        <v>1.6764459346185756E-3</v>
      </c>
      <c r="H341" s="3">
        <f t="shared" si="42"/>
        <v>1.1208406304728635E-2</v>
      </c>
      <c r="I341" s="3">
        <f t="shared" si="43"/>
        <v>4.4839130213125689E-3</v>
      </c>
      <c r="J341" s="12">
        <v>0.03</v>
      </c>
      <c r="K341" s="13">
        <v>-0.24</v>
      </c>
      <c r="L341" s="12">
        <v>0.02</v>
      </c>
      <c r="M341" s="21">
        <v>0.01</v>
      </c>
      <c r="N341" s="20">
        <f t="shared" si="44"/>
        <v>-9.5380351093317019E-3</v>
      </c>
      <c r="O341" s="20">
        <f t="shared" si="45"/>
        <v>1.2084063047286351E-3</v>
      </c>
      <c r="P341" s="20">
        <f t="shared" si="46"/>
        <v>-8.3235540653814246E-3</v>
      </c>
      <c r="Q341" s="20">
        <f t="shared" si="47"/>
        <v>-5.5160869786874313E-3</v>
      </c>
    </row>
    <row r="342" spans="1:17" x14ac:dyDescent="0.2">
      <c r="A342" s="1">
        <v>45057</v>
      </c>
      <c r="B342">
        <v>129.53</v>
      </c>
      <c r="C342">
        <v>60.09</v>
      </c>
      <c r="D342">
        <v>28.56</v>
      </c>
      <c r="E342" s="2">
        <v>4130.62</v>
      </c>
      <c r="F342" s="3">
        <f t="shared" si="40"/>
        <v>-3.155302447283348E-3</v>
      </c>
      <c r="G342" s="3">
        <f t="shared" si="41"/>
        <v>5.6903765690377028E-3</v>
      </c>
      <c r="H342" s="3">
        <f t="shared" si="42"/>
        <v>-1.0737790093522714E-2</v>
      </c>
      <c r="I342" s="3">
        <f t="shared" si="43"/>
        <v>-1.6966193288928677E-3</v>
      </c>
      <c r="J342" s="12">
        <v>0.15</v>
      </c>
      <c r="K342" s="12">
        <v>0.21</v>
      </c>
      <c r="L342" s="13">
        <v>-0.28999999999999998</v>
      </c>
      <c r="M342" s="21">
        <v>0.01</v>
      </c>
      <c r="N342" s="20">
        <f t="shared" si="44"/>
        <v>-1.3155302447283348E-2</v>
      </c>
      <c r="O342" s="20">
        <f t="shared" si="45"/>
        <v>-2.0737790093522716E-2</v>
      </c>
      <c r="P342" s="20">
        <f t="shared" si="46"/>
        <v>-4.3096234309622974E-3</v>
      </c>
      <c r="Q342" s="20">
        <f t="shared" si="47"/>
        <v>-1.1696619328892868E-2</v>
      </c>
    </row>
    <row r="343" spans="1:17" x14ac:dyDescent="0.2">
      <c r="A343" s="1">
        <v>45058</v>
      </c>
      <c r="B343">
        <v>127.68</v>
      </c>
      <c r="C343">
        <v>60.32</v>
      </c>
      <c r="D343">
        <v>28.32</v>
      </c>
      <c r="E343" s="2">
        <v>4124.08</v>
      </c>
      <c r="F343" s="3">
        <f t="shared" si="40"/>
        <v>-1.4282405620319572E-2</v>
      </c>
      <c r="G343" s="3">
        <f t="shared" si="41"/>
        <v>3.8275919454151541E-3</v>
      </c>
      <c r="H343" s="3">
        <f t="shared" si="42"/>
        <v>-8.4033613445377853E-3</v>
      </c>
      <c r="I343" s="3">
        <f t="shared" si="43"/>
        <v>-1.5832974226629437E-3</v>
      </c>
      <c r="J343" s="12">
        <v>0.35</v>
      </c>
      <c r="K343" s="12">
        <v>0.04</v>
      </c>
      <c r="L343" s="13">
        <v>-0.35</v>
      </c>
      <c r="M343" s="21">
        <v>0.01</v>
      </c>
      <c r="N343" s="20">
        <f t="shared" si="44"/>
        <v>-2.4282405620319573E-2</v>
      </c>
      <c r="O343" s="20">
        <f t="shared" si="45"/>
        <v>-1.8403361344537787E-2</v>
      </c>
      <c r="P343" s="20">
        <f t="shared" si="46"/>
        <v>-6.1724080545848461E-3</v>
      </c>
      <c r="Q343" s="20">
        <f t="shared" si="47"/>
        <v>-1.1583297422662944E-2</v>
      </c>
    </row>
    <row r="344" spans="1:17" x14ac:dyDescent="0.2">
      <c r="A344" s="1">
        <v>45061</v>
      </c>
      <c r="B344">
        <v>128.75</v>
      </c>
      <c r="C344">
        <v>60.16</v>
      </c>
      <c r="D344">
        <v>28.93</v>
      </c>
      <c r="E344" s="2">
        <v>4136.28</v>
      </c>
      <c r="F344" s="3">
        <f t="shared" si="40"/>
        <v>8.3803258145362935E-3</v>
      </c>
      <c r="G344" s="3">
        <f t="shared" si="41"/>
        <v>-2.6525198938992522E-3</v>
      </c>
      <c r="H344" s="3">
        <f t="shared" si="42"/>
        <v>2.1539548022598831E-2</v>
      </c>
      <c r="I344" s="3">
        <f t="shared" si="43"/>
        <v>2.958235533743192E-3</v>
      </c>
      <c r="J344" s="12">
        <v>0.35</v>
      </c>
      <c r="K344" s="13">
        <v>-0.19</v>
      </c>
      <c r="L344" s="12">
        <v>0.14000000000000001</v>
      </c>
      <c r="M344" s="21">
        <v>0.01</v>
      </c>
      <c r="N344" s="20">
        <f t="shared" si="44"/>
        <v>-1.6196741854637067E-3</v>
      </c>
      <c r="O344" s="20">
        <f t="shared" si="45"/>
        <v>1.1539548022598831E-2</v>
      </c>
      <c r="P344" s="20">
        <f t="shared" si="46"/>
        <v>-1.2652519893899252E-2</v>
      </c>
      <c r="Q344" s="20">
        <f t="shared" si="47"/>
        <v>-7.0417644662568082E-3</v>
      </c>
    </row>
    <row r="345" spans="1:17" x14ac:dyDescent="0.2">
      <c r="A345" s="1">
        <v>45062</v>
      </c>
      <c r="B345">
        <v>127.89</v>
      </c>
      <c r="C345">
        <v>59.49</v>
      </c>
      <c r="D345">
        <v>29.19</v>
      </c>
      <c r="E345" s="2">
        <v>4109.8999999999996</v>
      </c>
      <c r="F345" s="3">
        <f t="shared" si="40"/>
        <v>-6.679611650485473E-3</v>
      </c>
      <c r="G345" s="3">
        <f t="shared" si="41"/>
        <v>-1.1136968085106336E-2</v>
      </c>
      <c r="H345" s="3">
        <f t="shared" si="42"/>
        <v>8.9872105081230114E-3</v>
      </c>
      <c r="I345" s="3">
        <f t="shared" si="43"/>
        <v>-6.3777113735047353E-3</v>
      </c>
      <c r="J345" s="12">
        <v>0.05</v>
      </c>
      <c r="K345" s="13">
        <v>-0.02</v>
      </c>
      <c r="L345" s="12">
        <v>0.11</v>
      </c>
      <c r="M345" s="21">
        <v>0.01</v>
      </c>
      <c r="N345" s="20">
        <f t="shared" si="44"/>
        <v>-1.6679611650485475E-2</v>
      </c>
      <c r="O345" s="20">
        <f t="shared" si="45"/>
        <v>-1.0127894918769888E-3</v>
      </c>
      <c r="P345" s="20">
        <f t="shared" si="46"/>
        <v>-2.1136968085106338E-2</v>
      </c>
      <c r="Q345" s="20">
        <f t="shared" si="47"/>
        <v>-1.6377711373504737E-2</v>
      </c>
    </row>
    <row r="346" spans="1:17" x14ac:dyDescent="0.2">
      <c r="A346" s="1">
        <v>45063</v>
      </c>
      <c r="B346">
        <v>131.82</v>
      </c>
      <c r="C346">
        <v>59.42</v>
      </c>
      <c r="D346">
        <v>30.16</v>
      </c>
      <c r="E346" s="2">
        <v>4158.7700000000004</v>
      </c>
      <c r="F346" s="3">
        <f t="shared" si="40"/>
        <v>3.0729533192587422E-2</v>
      </c>
      <c r="G346" s="3">
        <f t="shared" si="41"/>
        <v>-1.1766683476214235E-3</v>
      </c>
      <c r="H346" s="3">
        <f t="shared" si="42"/>
        <v>3.3230558410414446E-2</v>
      </c>
      <c r="I346" s="3">
        <f t="shared" si="43"/>
        <v>1.1890800262780221E-2</v>
      </c>
      <c r="J346" s="11">
        <v>0.2</v>
      </c>
      <c r="K346" s="12">
        <v>0.03</v>
      </c>
      <c r="L346" s="13">
        <v>-0.23</v>
      </c>
      <c r="M346" s="21">
        <v>0.01</v>
      </c>
      <c r="N346" s="20">
        <f t="shared" si="44"/>
        <v>2.072953319258742E-2</v>
      </c>
      <c r="O346" s="20">
        <f t="shared" si="45"/>
        <v>2.3230558410414444E-2</v>
      </c>
      <c r="P346" s="20">
        <f t="shared" si="46"/>
        <v>-1.1176668347621424E-2</v>
      </c>
      <c r="Q346" s="20">
        <f t="shared" si="47"/>
        <v>1.890800262780221E-3</v>
      </c>
    </row>
    <row r="347" spans="1:17" x14ac:dyDescent="0.2">
      <c r="A347" s="1">
        <v>45064</v>
      </c>
      <c r="B347">
        <v>132.82</v>
      </c>
      <c r="C347">
        <v>59.09</v>
      </c>
      <c r="D347">
        <v>31.66</v>
      </c>
      <c r="E347" s="2">
        <v>4198.05</v>
      </c>
      <c r="F347" s="3">
        <f t="shared" si="40"/>
        <v>7.5861022606584783E-3</v>
      </c>
      <c r="G347" s="3">
        <f t="shared" si="41"/>
        <v>-5.553685627734728E-3</v>
      </c>
      <c r="H347" s="3">
        <f t="shared" si="42"/>
        <v>4.9734748010610064E-2</v>
      </c>
      <c r="I347" s="3">
        <f t="shared" si="43"/>
        <v>9.4451003541911049E-3</v>
      </c>
      <c r="J347" s="12">
        <v>0.02</v>
      </c>
      <c r="K347" s="13">
        <v>-0.16</v>
      </c>
      <c r="L347" s="13">
        <v>-0.78</v>
      </c>
      <c r="M347" s="21">
        <v>0.01</v>
      </c>
      <c r="N347" s="20">
        <f t="shared" si="44"/>
        <v>-2.413897739341522E-3</v>
      </c>
      <c r="O347" s="20">
        <f t="shared" si="45"/>
        <v>3.9734748010610062E-2</v>
      </c>
      <c r="P347" s="20">
        <f t="shared" si="46"/>
        <v>-1.5553685627734728E-2</v>
      </c>
      <c r="Q347" s="20">
        <f t="shared" si="47"/>
        <v>-5.5489964580889527E-4</v>
      </c>
    </row>
    <row r="348" spans="1:17" x14ac:dyDescent="0.2">
      <c r="A348" s="1">
        <v>45065</v>
      </c>
      <c r="B348">
        <v>132.51</v>
      </c>
      <c r="C348">
        <v>59.12</v>
      </c>
      <c r="D348">
        <v>31.24</v>
      </c>
      <c r="E348" s="2">
        <v>4191.9799999999996</v>
      </c>
      <c r="F348" s="3">
        <f t="shared" si="40"/>
        <v>-2.3339858455052598E-3</v>
      </c>
      <c r="G348" s="3">
        <f t="shared" si="41"/>
        <v>5.0770011846323904E-4</v>
      </c>
      <c r="H348" s="3">
        <f t="shared" si="42"/>
        <v>-1.3265950726468745E-2</v>
      </c>
      <c r="I348" s="3">
        <f t="shared" si="43"/>
        <v>-1.445909410321633E-3</v>
      </c>
      <c r="J348" s="12">
        <v>0.22</v>
      </c>
      <c r="K348" s="13">
        <v>-0.28000000000000003</v>
      </c>
      <c r="L348" s="13">
        <v>-0.04</v>
      </c>
      <c r="M348" s="21">
        <v>0.01</v>
      </c>
      <c r="N348" s="20">
        <f t="shared" si="44"/>
        <v>-1.233398584550526E-2</v>
      </c>
      <c r="O348" s="20">
        <f t="shared" si="45"/>
        <v>-2.3265950726468747E-2</v>
      </c>
      <c r="P348" s="20">
        <f t="shared" si="46"/>
        <v>-9.4922998815367612E-3</v>
      </c>
      <c r="Q348" s="20">
        <f t="shared" si="47"/>
        <v>-1.1445909410321633E-2</v>
      </c>
    </row>
    <row r="349" spans="1:17" x14ac:dyDescent="0.2">
      <c r="A349" s="1">
        <v>45068</v>
      </c>
      <c r="B349">
        <v>131.41999999999999</v>
      </c>
      <c r="C349">
        <v>57.88</v>
      </c>
      <c r="D349">
        <v>31.16</v>
      </c>
      <c r="E349" s="2">
        <v>4192.63</v>
      </c>
      <c r="F349" s="3">
        <f t="shared" si="40"/>
        <v>-8.2257942796770678E-3</v>
      </c>
      <c r="G349" s="3">
        <f t="shared" si="41"/>
        <v>-2.0974289580514172E-2</v>
      </c>
      <c r="H349" s="3">
        <f t="shared" si="42"/>
        <v>-2.5608194622278591E-3</v>
      </c>
      <c r="I349" s="3">
        <f t="shared" si="43"/>
        <v>1.5505799168891166E-4</v>
      </c>
      <c r="J349" s="13">
        <v>-0.11</v>
      </c>
      <c r="K349" s="12">
        <v>0.32</v>
      </c>
      <c r="L349" s="13">
        <v>-0.14000000000000001</v>
      </c>
      <c r="M349" s="21">
        <v>0.01</v>
      </c>
      <c r="N349" s="20">
        <f t="shared" si="44"/>
        <v>-1.822579427967707E-2</v>
      </c>
      <c r="O349" s="20">
        <f t="shared" si="45"/>
        <v>-1.2560819462227859E-2</v>
      </c>
      <c r="P349" s="20">
        <f t="shared" si="46"/>
        <v>-3.0974289580514174E-2</v>
      </c>
      <c r="Q349" s="20">
        <f t="shared" si="47"/>
        <v>-9.8449420083110886E-3</v>
      </c>
    </row>
    <row r="350" spans="1:17" x14ac:dyDescent="0.2">
      <c r="A350" s="1">
        <v>45069</v>
      </c>
      <c r="B350">
        <v>130.05000000000001</v>
      </c>
      <c r="C350">
        <v>57.77</v>
      </c>
      <c r="D350">
        <v>30.67</v>
      </c>
      <c r="E350" s="2">
        <v>4145.58</v>
      </c>
      <c r="F350" s="3">
        <f t="shared" si="40"/>
        <v>-1.0424592908232944E-2</v>
      </c>
      <c r="G350" s="3">
        <f t="shared" si="41"/>
        <v>-1.9004837595023583E-3</v>
      </c>
      <c r="H350" s="3">
        <f t="shared" si="42"/>
        <v>-1.572528883183566E-2</v>
      </c>
      <c r="I350" s="3">
        <f t="shared" si="43"/>
        <v>-1.1222073018606449E-2</v>
      </c>
      <c r="J350" s="13">
        <v>-0.03</v>
      </c>
      <c r="K350" s="12">
        <v>0.02</v>
      </c>
      <c r="L350" s="12">
        <v>0.32</v>
      </c>
      <c r="M350" s="21">
        <v>0.01</v>
      </c>
      <c r="N350" s="20">
        <f t="shared" si="44"/>
        <v>-2.0424592908232946E-2</v>
      </c>
      <c r="O350" s="20">
        <f t="shared" si="45"/>
        <v>-2.5725288831835662E-2</v>
      </c>
      <c r="P350" s="20">
        <f t="shared" si="46"/>
        <v>-1.1900483759502358E-2</v>
      </c>
      <c r="Q350" s="20">
        <f t="shared" si="47"/>
        <v>-2.1222073018606451E-2</v>
      </c>
    </row>
    <row r="351" spans="1:17" x14ac:dyDescent="0.2">
      <c r="A351" s="1">
        <v>45070</v>
      </c>
      <c r="B351">
        <v>128.86000000000001</v>
      </c>
      <c r="C351">
        <v>57.29</v>
      </c>
      <c r="D351">
        <v>30.52</v>
      </c>
      <c r="E351" s="2">
        <v>4115.24</v>
      </c>
      <c r="F351" s="3">
        <f t="shared" si="40"/>
        <v>-9.1503267973855884E-3</v>
      </c>
      <c r="G351" s="3">
        <f t="shared" si="41"/>
        <v>-8.3088108014540696E-3</v>
      </c>
      <c r="H351" s="3">
        <f t="shared" si="42"/>
        <v>-4.8907727420933744E-3</v>
      </c>
      <c r="I351" s="3">
        <f t="shared" si="43"/>
        <v>-7.3186381640205633E-3</v>
      </c>
      <c r="J351" s="13">
        <v>-0.03</v>
      </c>
      <c r="K351" s="14">
        <v>-0.3</v>
      </c>
      <c r="L351" s="13">
        <v>-0.72</v>
      </c>
      <c r="M351" s="21">
        <v>0.01</v>
      </c>
      <c r="N351" s="20">
        <f t="shared" si="44"/>
        <v>-1.915032679738559E-2</v>
      </c>
      <c r="O351" s="20">
        <f t="shared" si="45"/>
        <v>-1.4890772742093375E-2</v>
      </c>
      <c r="P351" s="20">
        <f t="shared" si="46"/>
        <v>-1.8308810801454072E-2</v>
      </c>
      <c r="Q351" s="20">
        <f t="shared" si="47"/>
        <v>-1.7318638164020565E-2</v>
      </c>
    </row>
    <row r="352" spans="1:17" x14ac:dyDescent="0.2">
      <c r="A352" s="1">
        <v>45071</v>
      </c>
      <c r="B352">
        <v>129.16999999999999</v>
      </c>
      <c r="C352">
        <v>56.84</v>
      </c>
      <c r="D352">
        <v>37.96</v>
      </c>
      <c r="E352" s="2">
        <v>4151.28</v>
      </c>
      <c r="F352" s="3">
        <f t="shared" si="40"/>
        <v>2.4057116250191246E-3</v>
      </c>
      <c r="G352" s="3">
        <f t="shared" si="41"/>
        <v>-7.854773957060468E-3</v>
      </c>
      <c r="H352" s="3">
        <f t="shared" si="42"/>
        <v>0.24377457404980341</v>
      </c>
      <c r="I352" s="3">
        <f t="shared" si="43"/>
        <v>8.7576909244662104E-3</v>
      </c>
      <c r="J352" s="13">
        <v>-0.49</v>
      </c>
      <c r="K352" s="12">
        <v>0.04</v>
      </c>
      <c r="L352" s="12">
        <v>0.19</v>
      </c>
      <c r="M352" s="21">
        <v>0.01</v>
      </c>
      <c r="N352" s="20">
        <f t="shared" si="44"/>
        <v>-7.5942883749808756E-3</v>
      </c>
      <c r="O352" s="20">
        <f t="shared" si="45"/>
        <v>0.2337745740498034</v>
      </c>
      <c r="P352" s="20">
        <f t="shared" si="46"/>
        <v>-1.785477395706047E-2</v>
      </c>
      <c r="Q352" s="20">
        <f t="shared" si="47"/>
        <v>-1.2423090755337898E-3</v>
      </c>
    </row>
    <row r="353" spans="1:17" x14ac:dyDescent="0.2">
      <c r="A353" s="1">
        <v>45072</v>
      </c>
      <c r="B353">
        <v>130.38</v>
      </c>
      <c r="C353">
        <v>56.7</v>
      </c>
      <c r="D353">
        <v>38.92</v>
      </c>
      <c r="E353" s="2">
        <v>4205.45</v>
      </c>
      <c r="F353" s="3">
        <f t="shared" si="40"/>
        <v>9.3675001935433766E-3</v>
      </c>
      <c r="G353" s="3">
        <f t="shared" si="41"/>
        <v>-2.4630541871921707E-3</v>
      </c>
      <c r="H353" s="3">
        <f t="shared" si="42"/>
        <v>2.5289778714436162E-2</v>
      </c>
      <c r="I353" s="3">
        <f t="shared" si="43"/>
        <v>1.3048987300302572E-2</v>
      </c>
      <c r="J353" s="11">
        <v>0.8</v>
      </c>
      <c r="K353" s="13">
        <v>-0.11</v>
      </c>
      <c r="L353" s="13">
        <v>-0.38</v>
      </c>
      <c r="M353" s="20">
        <v>8.0000000000000002E-3</v>
      </c>
      <c r="N353" s="20">
        <f t="shared" si="44"/>
        <v>1.3675001935433764E-3</v>
      </c>
      <c r="O353" s="20">
        <f t="shared" si="45"/>
        <v>1.7289778714436162E-2</v>
      </c>
      <c r="P353" s="20">
        <f t="shared" si="46"/>
        <v>-1.0463054187192171E-2</v>
      </c>
      <c r="Q353" s="20">
        <f t="shared" si="47"/>
        <v>5.0489873003025723E-3</v>
      </c>
    </row>
    <row r="354" spans="1:17" x14ac:dyDescent="0.2">
      <c r="A354" s="1">
        <v>45076</v>
      </c>
      <c r="B354">
        <v>130.88</v>
      </c>
      <c r="C354">
        <v>56.25</v>
      </c>
      <c r="D354">
        <v>40.08</v>
      </c>
      <c r="E354" s="2">
        <v>4205.5200000000004</v>
      </c>
      <c r="F354" s="3">
        <f t="shared" si="40"/>
        <v>3.8349440098175425E-3</v>
      </c>
      <c r="G354" s="3">
        <f t="shared" si="41"/>
        <v>-7.9365079365080193E-3</v>
      </c>
      <c r="H354" s="3">
        <f t="shared" si="42"/>
        <v>2.9804727646454143E-2</v>
      </c>
      <c r="I354" s="3">
        <f t="shared" si="43"/>
        <v>1.6645067709930572E-5</v>
      </c>
      <c r="J354" s="12">
        <v>0.57999999999999996</v>
      </c>
      <c r="K354" s="11">
        <v>0</v>
      </c>
      <c r="L354" s="12">
        <v>0.25</v>
      </c>
      <c r="M354" s="20">
        <v>8.0000000000000002E-3</v>
      </c>
      <c r="N354" s="20">
        <f t="shared" si="44"/>
        <v>-4.1650559901824577E-3</v>
      </c>
      <c r="O354" s="20">
        <f t="shared" si="45"/>
        <v>2.1804727646454143E-2</v>
      </c>
      <c r="P354" s="20">
        <f t="shared" si="46"/>
        <v>-1.593650793650802E-2</v>
      </c>
      <c r="Q354" s="20">
        <f t="shared" si="47"/>
        <v>-7.9833549322900696E-3</v>
      </c>
    </row>
    <row r="355" spans="1:17" x14ac:dyDescent="0.2">
      <c r="A355" s="1">
        <v>45077</v>
      </c>
      <c r="B355">
        <v>129.21</v>
      </c>
      <c r="C355">
        <v>56.14</v>
      </c>
      <c r="D355">
        <v>37.81</v>
      </c>
      <c r="E355" s="2">
        <v>4179.83</v>
      </c>
      <c r="F355" s="3">
        <f t="shared" si="40"/>
        <v>-1.2759779951100114E-2</v>
      </c>
      <c r="G355" s="3">
        <f t="shared" si="41"/>
        <v>-1.9555555555555992E-3</v>
      </c>
      <c r="H355" s="3">
        <f t="shared" si="42"/>
        <v>-5.6636726546906102E-2</v>
      </c>
      <c r="I355" s="3">
        <f t="shared" si="43"/>
        <v>-6.1086381707852189E-3</v>
      </c>
      <c r="J355" s="11">
        <v>0.5</v>
      </c>
      <c r="K355" s="13">
        <v>-0.13</v>
      </c>
      <c r="L355" s="13">
        <v>-0.33</v>
      </c>
      <c r="M355" s="20">
        <v>8.0000000000000002E-3</v>
      </c>
      <c r="N355" s="20">
        <f t="shared" si="44"/>
        <v>-2.0759779951100114E-2</v>
      </c>
      <c r="O355" s="20">
        <f t="shared" si="45"/>
        <v>-6.4636726546906109E-2</v>
      </c>
      <c r="P355" s="20">
        <f t="shared" si="46"/>
        <v>-9.9555555555555994E-3</v>
      </c>
      <c r="Q355" s="20">
        <f t="shared" si="47"/>
        <v>-1.4108638170785219E-2</v>
      </c>
    </row>
    <row r="356" spans="1:17" x14ac:dyDescent="0.2">
      <c r="A356" s="1">
        <v>45078</v>
      </c>
      <c r="B356">
        <v>130.99</v>
      </c>
      <c r="C356">
        <v>56.46</v>
      </c>
      <c r="D356">
        <v>39.74</v>
      </c>
      <c r="E356" s="2">
        <v>4221.0200000000004</v>
      </c>
      <c r="F356" s="3">
        <f t="shared" si="40"/>
        <v>1.3776023527590775E-2</v>
      </c>
      <c r="G356" s="3">
        <f t="shared" si="41"/>
        <v>5.7000356252225881E-3</v>
      </c>
      <c r="H356" s="3">
        <f t="shared" si="42"/>
        <v>5.1044697170060882E-2</v>
      </c>
      <c r="I356" s="3">
        <f t="shared" si="43"/>
        <v>9.8544677654355262E-3</v>
      </c>
      <c r="J356" s="12">
        <v>0.91</v>
      </c>
      <c r="K356" s="13">
        <v>-0.64</v>
      </c>
      <c r="L356" s="12">
        <v>0.24</v>
      </c>
      <c r="M356" s="20">
        <v>8.0000000000000002E-3</v>
      </c>
      <c r="N356" s="20">
        <f t="shared" si="44"/>
        <v>5.7760235275907748E-3</v>
      </c>
      <c r="O356" s="20">
        <f t="shared" si="45"/>
        <v>4.3044697170060882E-2</v>
      </c>
      <c r="P356" s="20">
        <f t="shared" si="46"/>
        <v>-2.2999643747774121E-3</v>
      </c>
      <c r="Q356" s="20">
        <f t="shared" si="47"/>
        <v>1.854467765435526E-3</v>
      </c>
    </row>
    <row r="357" spans="1:17" x14ac:dyDescent="0.2">
      <c r="A357" s="1">
        <v>45079</v>
      </c>
      <c r="B357">
        <v>133.74</v>
      </c>
      <c r="C357">
        <v>57.55</v>
      </c>
      <c r="D357">
        <v>39.299999999999997</v>
      </c>
      <c r="E357" s="2">
        <v>4282.37</v>
      </c>
      <c r="F357" s="3">
        <f t="shared" si="40"/>
        <v>2.0993969005267621E-2</v>
      </c>
      <c r="G357" s="3">
        <f t="shared" si="41"/>
        <v>1.9305703152674436E-2</v>
      </c>
      <c r="H357" s="3">
        <f t="shared" si="42"/>
        <v>-1.1071967790639237E-2</v>
      </c>
      <c r="I357" s="3">
        <f t="shared" si="43"/>
        <v>1.4534401637518846E-2</v>
      </c>
      <c r="J357" s="12">
        <v>0.45</v>
      </c>
      <c r="K357" s="13">
        <v>-0.36</v>
      </c>
      <c r="L357" s="12">
        <v>0.26</v>
      </c>
      <c r="M357" s="20">
        <v>8.0000000000000002E-3</v>
      </c>
      <c r="N357" s="20">
        <f t="shared" si="44"/>
        <v>1.2993969005267621E-2</v>
      </c>
      <c r="O357" s="20">
        <f t="shared" si="45"/>
        <v>-1.9071967790639237E-2</v>
      </c>
      <c r="P357" s="20">
        <f t="shared" si="46"/>
        <v>1.1305703152674436E-2</v>
      </c>
      <c r="Q357" s="20">
        <f t="shared" si="47"/>
        <v>6.5344016375188455E-3</v>
      </c>
    </row>
    <row r="358" spans="1:17" x14ac:dyDescent="0.2">
      <c r="A358" s="1">
        <v>45082</v>
      </c>
      <c r="B358">
        <v>132.43</v>
      </c>
      <c r="C358">
        <v>57.16</v>
      </c>
      <c r="D358">
        <v>39.15</v>
      </c>
      <c r="E358" s="2">
        <v>4273.79</v>
      </c>
      <c r="F358" s="3">
        <f t="shared" si="40"/>
        <v>-9.7951248691491299E-3</v>
      </c>
      <c r="G358" s="3">
        <f t="shared" si="41"/>
        <v>-6.7767158992181331E-3</v>
      </c>
      <c r="H358" s="3">
        <f t="shared" si="42"/>
        <v>-3.8167938931297218E-3</v>
      </c>
      <c r="I358" s="3">
        <f t="shared" si="43"/>
        <v>-2.0035634473434261E-3</v>
      </c>
      <c r="J358" s="12">
        <v>0.01</v>
      </c>
      <c r="K358" s="13">
        <v>-0.09</v>
      </c>
      <c r="L358" s="12">
        <v>0.17</v>
      </c>
      <c r="M358" s="20">
        <v>8.0000000000000002E-3</v>
      </c>
      <c r="N358" s="20">
        <f t="shared" si="44"/>
        <v>-1.779512486914913E-2</v>
      </c>
      <c r="O358" s="20">
        <f t="shared" si="45"/>
        <v>-1.1816793893129722E-2</v>
      </c>
      <c r="P358" s="20">
        <f t="shared" si="46"/>
        <v>-1.4776715899218133E-2</v>
      </c>
      <c r="Q358" s="20">
        <f t="shared" si="47"/>
        <v>-1.0003563447343426E-2</v>
      </c>
    </row>
    <row r="359" spans="1:17" x14ac:dyDescent="0.2">
      <c r="A359" s="1">
        <v>45083</v>
      </c>
      <c r="B359">
        <v>132.66999999999999</v>
      </c>
      <c r="C359">
        <v>56.75</v>
      </c>
      <c r="D359">
        <v>38.630000000000003</v>
      </c>
      <c r="E359" s="2">
        <v>4283.8500000000004</v>
      </c>
      <c r="F359" s="3">
        <f t="shared" si="40"/>
        <v>1.8122781847011993E-3</v>
      </c>
      <c r="G359" s="3">
        <f t="shared" si="41"/>
        <v>-7.1728481455562987E-3</v>
      </c>
      <c r="H359" s="3">
        <f t="shared" si="42"/>
        <v>-1.3282247765006305E-2</v>
      </c>
      <c r="I359" s="3">
        <f t="shared" si="43"/>
        <v>2.3538826194080542E-3</v>
      </c>
      <c r="J359" s="13">
        <v>-0.63</v>
      </c>
      <c r="K359" s="13">
        <v>-0.01</v>
      </c>
      <c r="L359" s="13">
        <v>-0.59</v>
      </c>
      <c r="M359" s="20">
        <v>8.0000000000000002E-3</v>
      </c>
      <c r="N359" s="20">
        <f t="shared" si="44"/>
        <v>-6.1877218152988009E-3</v>
      </c>
      <c r="O359" s="20">
        <f t="shared" si="45"/>
        <v>-2.1282247765006305E-2</v>
      </c>
      <c r="P359" s="20">
        <f t="shared" si="46"/>
        <v>-1.5172848145556299E-2</v>
      </c>
      <c r="Q359" s="20">
        <f t="shared" si="47"/>
        <v>-5.646117380591946E-3</v>
      </c>
    </row>
    <row r="360" spans="1:17" x14ac:dyDescent="0.2">
      <c r="A360" s="1">
        <v>45084</v>
      </c>
      <c r="B360">
        <v>133.94999999999999</v>
      </c>
      <c r="C360">
        <v>56.66</v>
      </c>
      <c r="D360">
        <v>37.450000000000003</v>
      </c>
      <c r="E360" s="2">
        <v>4267.5200000000004</v>
      </c>
      <c r="F360" s="3">
        <f t="shared" si="40"/>
        <v>9.6479987940001344E-3</v>
      </c>
      <c r="G360" s="3">
        <f t="shared" si="41"/>
        <v>-1.5859030837005461E-3</v>
      </c>
      <c r="H360" s="3">
        <f t="shared" si="42"/>
        <v>-3.0546207610665288E-2</v>
      </c>
      <c r="I360" s="3">
        <f t="shared" si="43"/>
        <v>-3.8119915496573897E-3</v>
      </c>
      <c r="J360" s="12">
        <v>0.43</v>
      </c>
      <c r="K360" s="13">
        <v>-0.08</v>
      </c>
      <c r="L360" s="12">
        <v>0.24</v>
      </c>
      <c r="M360" s="20">
        <v>8.0000000000000002E-3</v>
      </c>
      <c r="N360" s="20">
        <f t="shared" si="44"/>
        <v>1.6479987940001342E-3</v>
      </c>
      <c r="O360" s="20">
        <f t="shared" si="45"/>
        <v>-3.8546207610665288E-2</v>
      </c>
      <c r="P360" s="20">
        <f t="shared" si="46"/>
        <v>-9.5859030837005463E-3</v>
      </c>
      <c r="Q360" s="20">
        <f t="shared" si="47"/>
        <v>-1.181199154965739E-2</v>
      </c>
    </row>
    <row r="361" spans="1:17" x14ac:dyDescent="0.2">
      <c r="A361" s="1">
        <v>45085</v>
      </c>
      <c r="B361">
        <v>133.99</v>
      </c>
      <c r="C361">
        <v>56.81</v>
      </c>
      <c r="D361">
        <v>38.49</v>
      </c>
      <c r="E361" s="2">
        <v>4293.93</v>
      </c>
      <c r="F361" s="3">
        <f t="shared" si="40"/>
        <v>2.9861888764481925E-4</v>
      </c>
      <c r="G361" s="3">
        <f t="shared" si="41"/>
        <v>2.6473702788565312E-3</v>
      </c>
      <c r="H361" s="3">
        <f t="shared" si="42"/>
        <v>2.7770360480640743E-2</v>
      </c>
      <c r="I361" s="3">
        <f t="shared" si="43"/>
        <v>6.1886060287941191E-3</v>
      </c>
      <c r="J361" s="13">
        <v>-0.36</v>
      </c>
      <c r="K361" s="12">
        <v>0.39</v>
      </c>
      <c r="L361" s="13">
        <v>-0.31</v>
      </c>
      <c r="M361" s="20">
        <v>8.0000000000000002E-3</v>
      </c>
      <c r="N361" s="20">
        <f t="shared" si="44"/>
        <v>-7.7013811123551809E-3</v>
      </c>
      <c r="O361" s="20">
        <f t="shared" si="45"/>
        <v>1.9770360480640743E-2</v>
      </c>
      <c r="P361" s="20">
        <f t="shared" si="46"/>
        <v>-5.352629721143469E-3</v>
      </c>
      <c r="Q361" s="20">
        <f t="shared" si="47"/>
        <v>-1.811393971205881E-3</v>
      </c>
    </row>
    <row r="362" spans="1:17" x14ac:dyDescent="0.2">
      <c r="A362" s="1">
        <v>45086</v>
      </c>
      <c r="B362">
        <v>134.26</v>
      </c>
      <c r="C362">
        <v>56.9</v>
      </c>
      <c r="D362">
        <v>38.75</v>
      </c>
      <c r="E362" s="2">
        <v>4298.8599999999997</v>
      </c>
      <c r="F362" s="3">
        <f t="shared" si="40"/>
        <v>2.0150757519217244E-3</v>
      </c>
      <c r="G362" s="3">
        <f t="shared" si="41"/>
        <v>1.5842281288505067E-3</v>
      </c>
      <c r="H362" s="3">
        <f t="shared" si="42"/>
        <v>6.7550012990387209E-3</v>
      </c>
      <c r="I362" s="3">
        <f t="shared" si="43"/>
        <v>1.1481323635922358E-3</v>
      </c>
      <c r="J362" s="15">
        <v>1.29</v>
      </c>
      <c r="K362" s="13">
        <v>-0.75</v>
      </c>
      <c r="L362" s="13">
        <v>-0.24</v>
      </c>
      <c r="M362" s="20">
        <v>8.0000000000000002E-3</v>
      </c>
      <c r="N362" s="20">
        <f t="shared" si="44"/>
        <v>-5.9849242480782758E-3</v>
      </c>
      <c r="O362" s="20">
        <f t="shared" si="45"/>
        <v>-1.2449987009612792E-3</v>
      </c>
      <c r="P362" s="20">
        <f t="shared" si="46"/>
        <v>-6.4157718711494935E-3</v>
      </c>
      <c r="Q362" s="20">
        <f t="shared" si="47"/>
        <v>-6.8518676364077644E-3</v>
      </c>
    </row>
    <row r="363" spans="1:17" x14ac:dyDescent="0.2">
      <c r="A363" s="1">
        <v>45089</v>
      </c>
      <c r="B363">
        <v>134.25</v>
      </c>
      <c r="C363">
        <v>56.66</v>
      </c>
      <c r="D363">
        <v>39.46</v>
      </c>
      <c r="E363" s="2">
        <v>4338.93</v>
      </c>
      <c r="F363" s="3">
        <f t="shared" si="40"/>
        <v>-7.4482347683479944E-5</v>
      </c>
      <c r="G363" s="3">
        <f t="shared" si="41"/>
        <v>-4.2179261862917983E-3</v>
      </c>
      <c r="H363" s="3">
        <f t="shared" si="42"/>
        <v>1.8322580645161235E-2</v>
      </c>
      <c r="I363" s="3">
        <f t="shared" si="43"/>
        <v>9.3210758201012212E-3</v>
      </c>
      <c r="J363" s="12">
        <v>0.31</v>
      </c>
      <c r="K363" s="14">
        <v>-0.2</v>
      </c>
      <c r="L363" s="13">
        <v>-0.22</v>
      </c>
      <c r="M363" s="20">
        <v>8.0000000000000002E-3</v>
      </c>
      <c r="N363" s="20">
        <f t="shared" si="44"/>
        <v>-8.0744823476834801E-3</v>
      </c>
      <c r="O363" s="20">
        <f t="shared" si="45"/>
        <v>1.0322580645161235E-2</v>
      </c>
      <c r="P363" s="20">
        <f t="shared" si="46"/>
        <v>-1.2217926186291798E-2</v>
      </c>
      <c r="Q363" s="20">
        <f t="shared" si="47"/>
        <v>1.321075820101221E-3</v>
      </c>
    </row>
    <row r="364" spans="1:17" x14ac:dyDescent="0.2">
      <c r="A364" s="1">
        <v>45090</v>
      </c>
      <c r="B364">
        <v>135.22</v>
      </c>
      <c r="C364">
        <v>56.88</v>
      </c>
      <c r="D364">
        <v>41</v>
      </c>
      <c r="E364" s="2">
        <v>4369.01</v>
      </c>
      <c r="F364" s="3">
        <f t="shared" si="40"/>
        <v>7.2253258845438317E-3</v>
      </c>
      <c r="G364" s="3">
        <f t="shared" si="41"/>
        <v>3.8828097423226904E-3</v>
      </c>
      <c r="H364" s="3">
        <f t="shared" si="42"/>
        <v>3.9026862645717086E-2</v>
      </c>
      <c r="I364" s="3">
        <f t="shared" si="43"/>
        <v>6.9325847616807934E-3</v>
      </c>
      <c r="J364" s="12">
        <v>0.24</v>
      </c>
      <c r="K364" s="13">
        <v>-0.18</v>
      </c>
      <c r="L364" s="13">
        <v>-0.01</v>
      </c>
      <c r="M364" s="20">
        <v>8.0000000000000002E-3</v>
      </c>
      <c r="N364" s="20">
        <f t="shared" si="44"/>
        <v>-7.7467411545616843E-4</v>
      </c>
      <c r="O364" s="20">
        <f t="shared" si="45"/>
        <v>3.1026862645717086E-2</v>
      </c>
      <c r="P364" s="20">
        <f t="shared" si="46"/>
        <v>-4.1171902576773098E-3</v>
      </c>
      <c r="Q364" s="20">
        <f t="shared" si="47"/>
        <v>-1.0674152383192068E-3</v>
      </c>
    </row>
    <row r="365" spans="1:17" x14ac:dyDescent="0.2">
      <c r="A365" s="1">
        <v>45091</v>
      </c>
      <c r="B365">
        <v>134.71</v>
      </c>
      <c r="C365">
        <v>57.27</v>
      </c>
      <c r="D365">
        <v>42.97</v>
      </c>
      <c r="E365" s="2">
        <v>4372.59</v>
      </c>
      <c r="F365" s="3">
        <f t="shared" si="40"/>
        <v>-3.7716314154709885E-3</v>
      </c>
      <c r="G365" s="3">
        <f t="shared" si="41"/>
        <v>6.8565400843882962E-3</v>
      </c>
      <c r="H365" s="3">
        <f t="shared" si="42"/>
        <v>4.8048780487804921E-2</v>
      </c>
      <c r="I365" s="3">
        <f t="shared" si="43"/>
        <v>8.1940760034870941E-4</v>
      </c>
      <c r="J365" s="12">
        <v>0.08</v>
      </c>
      <c r="K365" s="13">
        <v>-0.35</v>
      </c>
      <c r="L365" s="12">
        <v>0.11</v>
      </c>
      <c r="M365" s="20">
        <v>8.0000000000000002E-3</v>
      </c>
      <c r="N365" s="20">
        <f t="shared" si="44"/>
        <v>-1.1771631415470989E-2</v>
      </c>
      <c r="O365" s="20">
        <f t="shared" si="45"/>
        <v>4.0048780487804921E-2</v>
      </c>
      <c r="P365" s="20">
        <f t="shared" si="46"/>
        <v>-1.143459915611704E-3</v>
      </c>
      <c r="Q365" s="20">
        <f t="shared" si="47"/>
        <v>-7.1805923996512908E-3</v>
      </c>
    </row>
    <row r="366" spans="1:17" x14ac:dyDescent="0.2">
      <c r="A366" s="1">
        <v>45092</v>
      </c>
      <c r="B366">
        <v>136.24</v>
      </c>
      <c r="C366">
        <v>58.05</v>
      </c>
      <c r="D366">
        <v>42.63</v>
      </c>
      <c r="E366" s="2">
        <v>4425.84</v>
      </c>
      <c r="F366" s="3">
        <f t="shared" si="40"/>
        <v>1.1357731423056849E-2</v>
      </c>
      <c r="G366" s="3">
        <f t="shared" si="41"/>
        <v>1.3619696176008222E-2</v>
      </c>
      <c r="H366" s="3">
        <f t="shared" si="42"/>
        <v>-7.9124970909936199E-3</v>
      </c>
      <c r="I366" s="3">
        <f t="shared" si="43"/>
        <v>1.2178136985173449E-2</v>
      </c>
      <c r="J366" s="13">
        <v>-0.28999999999999998</v>
      </c>
      <c r="K366" s="12">
        <v>0.23</v>
      </c>
      <c r="L366" s="13">
        <v>-0.21</v>
      </c>
      <c r="M366" s="20">
        <v>8.0000000000000002E-3</v>
      </c>
      <c r="N366" s="20">
        <f t="shared" si="44"/>
        <v>3.3577314230568492E-3</v>
      </c>
      <c r="O366" s="20">
        <f t="shared" si="45"/>
        <v>-1.591249709099362E-2</v>
      </c>
      <c r="P366" s="20">
        <f t="shared" si="46"/>
        <v>5.6196961760082223E-3</v>
      </c>
      <c r="Q366" s="20">
        <f t="shared" si="47"/>
        <v>4.1781369851734487E-3</v>
      </c>
    </row>
    <row r="367" spans="1:17" x14ac:dyDescent="0.2">
      <c r="A367" s="1">
        <v>45093</v>
      </c>
      <c r="B367">
        <v>136.4</v>
      </c>
      <c r="C367">
        <v>58.47</v>
      </c>
      <c r="D367">
        <v>42.67</v>
      </c>
      <c r="E367" s="2">
        <v>4409.59</v>
      </c>
      <c r="F367" s="3">
        <f t="shared" si="40"/>
        <v>1.1743981209628718E-3</v>
      </c>
      <c r="G367" s="3">
        <f t="shared" si="41"/>
        <v>7.2351421188630027E-3</v>
      </c>
      <c r="H367" s="3">
        <f t="shared" si="42"/>
        <v>9.3830635702563114E-4</v>
      </c>
      <c r="I367" s="3">
        <f t="shared" si="43"/>
        <v>-3.6716193988033385E-3</v>
      </c>
      <c r="J367" s="13">
        <v>-0.32</v>
      </c>
      <c r="K367" s="13">
        <v>-0.32</v>
      </c>
      <c r="L367" s="13">
        <v>-0.03</v>
      </c>
      <c r="M367" s="20">
        <v>8.0000000000000002E-3</v>
      </c>
      <c r="N367" s="20">
        <f t="shared" si="44"/>
        <v>-6.8256018790371284E-3</v>
      </c>
      <c r="O367" s="20">
        <f t="shared" si="45"/>
        <v>-7.061693642974369E-3</v>
      </c>
      <c r="P367" s="20">
        <f t="shared" si="46"/>
        <v>-7.6485788113699743E-4</v>
      </c>
      <c r="Q367" s="20">
        <f t="shared" si="47"/>
        <v>-1.1671619398803339E-2</v>
      </c>
    </row>
    <row r="368" spans="1:17" x14ac:dyDescent="0.2">
      <c r="A368" s="1">
        <v>45097</v>
      </c>
      <c r="B368">
        <v>135.69999999999999</v>
      </c>
      <c r="C368">
        <v>58.08</v>
      </c>
      <c r="D368">
        <v>43.78</v>
      </c>
      <c r="E368" s="2">
        <v>4388.71</v>
      </c>
      <c r="F368" s="3">
        <f t="shared" si="40"/>
        <v>-5.1319648093842707E-3</v>
      </c>
      <c r="G368" s="3">
        <f t="shared" si="41"/>
        <v>-6.6700872242175802E-3</v>
      </c>
      <c r="H368" s="3">
        <f t="shared" si="42"/>
        <v>2.601359268807113E-2</v>
      </c>
      <c r="I368" s="3">
        <f t="shared" si="43"/>
        <v>-4.7351341054383544E-3</v>
      </c>
      <c r="J368" s="12">
        <v>0.55000000000000004</v>
      </c>
      <c r="K368" s="12">
        <v>0.09</v>
      </c>
      <c r="L368" s="12">
        <v>0.41</v>
      </c>
      <c r="M368" s="20">
        <v>8.0000000000000002E-3</v>
      </c>
      <c r="N368" s="20">
        <f t="shared" si="44"/>
        <v>-1.3131964809384271E-2</v>
      </c>
      <c r="O368" s="20">
        <f t="shared" si="45"/>
        <v>1.801359268807113E-2</v>
      </c>
      <c r="P368" s="20">
        <f t="shared" si="46"/>
        <v>-1.467008722421758E-2</v>
      </c>
      <c r="Q368" s="20">
        <f t="shared" si="47"/>
        <v>-1.2735134105438355E-2</v>
      </c>
    </row>
    <row r="369" spans="1:17" x14ac:dyDescent="0.2">
      <c r="A369" s="1">
        <v>45098</v>
      </c>
      <c r="B369">
        <v>135.5</v>
      </c>
      <c r="C369">
        <v>58.24</v>
      </c>
      <c r="D369">
        <v>43.02</v>
      </c>
      <c r="E369" s="2">
        <v>4365.6899999999996</v>
      </c>
      <c r="F369" s="3">
        <f t="shared" si="40"/>
        <v>-1.4738393515105752E-3</v>
      </c>
      <c r="G369" s="3">
        <f t="shared" si="41"/>
        <v>2.7548209366392573E-3</v>
      </c>
      <c r="H369" s="3">
        <f t="shared" si="42"/>
        <v>-1.7359524897213263E-2</v>
      </c>
      <c r="I369" s="3">
        <f t="shared" si="43"/>
        <v>-5.245277085977551E-3</v>
      </c>
      <c r="J369" s="13">
        <v>-0.15</v>
      </c>
      <c r="K369" s="12">
        <v>0.22</v>
      </c>
      <c r="L369" s="13">
        <v>-0.03</v>
      </c>
      <c r="M369" s="20">
        <v>8.0000000000000002E-3</v>
      </c>
      <c r="N369" s="20">
        <f t="shared" si="44"/>
        <v>-9.4738393515105754E-3</v>
      </c>
      <c r="O369" s="20">
        <f t="shared" si="45"/>
        <v>-2.5359524897213263E-2</v>
      </c>
      <c r="P369" s="20">
        <f t="shared" si="46"/>
        <v>-5.2451790633607429E-3</v>
      </c>
      <c r="Q369" s="20">
        <f t="shared" si="47"/>
        <v>-1.3245277085977551E-2</v>
      </c>
    </row>
    <row r="370" spans="1:17" x14ac:dyDescent="0.2">
      <c r="A370" s="1">
        <v>45099</v>
      </c>
      <c r="B370">
        <v>132.88999999999999</v>
      </c>
      <c r="C370">
        <v>58.64</v>
      </c>
      <c r="D370">
        <v>43</v>
      </c>
      <c r="E370" s="2">
        <v>4381.8900000000003</v>
      </c>
      <c r="F370" s="3">
        <f t="shared" si="40"/>
        <v>-1.9261992619926338E-2</v>
      </c>
      <c r="G370" s="3">
        <f t="shared" si="41"/>
        <v>6.8681318681318437E-3</v>
      </c>
      <c r="H370" s="3">
        <f t="shared" si="42"/>
        <v>-4.6490004649002437E-4</v>
      </c>
      <c r="I370" s="3">
        <f t="shared" si="43"/>
        <v>3.7107536265745811E-3</v>
      </c>
      <c r="J370" s="17">
        <v>-1.1599999999999999</v>
      </c>
      <c r="K370" s="12">
        <v>0.08</v>
      </c>
      <c r="L370" s="13">
        <v>-0.44</v>
      </c>
      <c r="M370" s="20">
        <v>8.0000000000000002E-3</v>
      </c>
      <c r="N370" s="20">
        <f t="shared" si="44"/>
        <v>-2.7261992619926338E-2</v>
      </c>
      <c r="O370" s="20">
        <f t="shared" si="45"/>
        <v>-8.4649000464900245E-3</v>
      </c>
      <c r="P370" s="20">
        <f t="shared" si="46"/>
        <v>-1.1318681318681564E-3</v>
      </c>
      <c r="Q370" s="20">
        <f t="shared" si="47"/>
        <v>-4.2892463734254191E-3</v>
      </c>
    </row>
    <row r="371" spans="1:17" x14ac:dyDescent="0.2">
      <c r="A371" s="1">
        <v>45100</v>
      </c>
      <c r="B371">
        <v>132.19999999999999</v>
      </c>
      <c r="C371">
        <v>58.03</v>
      </c>
      <c r="D371">
        <v>42.19</v>
      </c>
      <c r="E371" s="2">
        <v>4348.33</v>
      </c>
      <c r="F371" s="3">
        <f t="shared" si="40"/>
        <v>-5.1922642787267659E-3</v>
      </c>
      <c r="G371" s="3">
        <f t="shared" si="41"/>
        <v>-1.0402455661664423E-2</v>
      </c>
      <c r="H371" s="3">
        <f t="shared" si="42"/>
        <v>-1.8837209302325686E-2</v>
      </c>
      <c r="I371" s="3">
        <f t="shared" si="43"/>
        <v>-7.6587956338476371E-3</v>
      </c>
      <c r="J371" s="12">
        <v>0.52</v>
      </c>
      <c r="K371" s="13">
        <v>-0.08</v>
      </c>
      <c r="L371" s="12">
        <v>0.15</v>
      </c>
      <c r="M371" s="20">
        <v>8.0000000000000002E-3</v>
      </c>
      <c r="N371" s="20">
        <f t="shared" si="44"/>
        <v>-1.3192264278726766E-2</v>
      </c>
      <c r="O371" s="20">
        <f t="shared" si="45"/>
        <v>-2.6837209302325686E-2</v>
      </c>
      <c r="P371" s="20">
        <f t="shared" si="46"/>
        <v>-1.8402455661664423E-2</v>
      </c>
      <c r="Q371" s="20">
        <f t="shared" si="47"/>
        <v>-1.5658795633847637E-2</v>
      </c>
    </row>
    <row r="372" spans="1:17" x14ac:dyDescent="0.2">
      <c r="A372" s="1">
        <v>45103</v>
      </c>
      <c r="B372">
        <v>132.52000000000001</v>
      </c>
      <c r="C372">
        <v>58.04</v>
      </c>
      <c r="D372">
        <v>40.61</v>
      </c>
      <c r="E372" s="2">
        <v>4328.82</v>
      </c>
      <c r="F372" s="3">
        <f t="shared" si="40"/>
        <v>2.4205748865357979E-3</v>
      </c>
      <c r="G372" s="3">
        <f t="shared" si="41"/>
        <v>1.7232465965877353E-4</v>
      </c>
      <c r="H372" s="3">
        <f t="shared" si="42"/>
        <v>-3.7449632614363515E-2</v>
      </c>
      <c r="I372" s="3">
        <f t="shared" si="43"/>
        <v>-4.4867799822001508E-3</v>
      </c>
      <c r="J372" s="12">
        <v>0.65</v>
      </c>
      <c r="K372" s="13">
        <v>-0.34</v>
      </c>
      <c r="L372" s="13">
        <v>-0.17</v>
      </c>
      <c r="M372" s="20">
        <v>8.0000000000000002E-3</v>
      </c>
      <c r="N372" s="20">
        <f t="shared" si="44"/>
        <v>-5.5794251134642023E-3</v>
      </c>
      <c r="O372" s="20">
        <f t="shared" si="45"/>
        <v>-4.5449632614363515E-2</v>
      </c>
      <c r="P372" s="20">
        <f t="shared" si="46"/>
        <v>-7.8276753403412266E-3</v>
      </c>
      <c r="Q372" s="20">
        <f t="shared" si="47"/>
        <v>-1.2486779982200151E-2</v>
      </c>
    </row>
    <row r="373" spans="1:17" x14ac:dyDescent="0.2">
      <c r="A373" s="1">
        <v>45104</v>
      </c>
      <c r="B373">
        <v>132.53</v>
      </c>
      <c r="C373">
        <v>57.92</v>
      </c>
      <c r="D373">
        <v>41.85</v>
      </c>
      <c r="E373" s="2">
        <v>4378.41</v>
      </c>
      <c r="F373" s="3">
        <f t="shared" si="40"/>
        <v>7.5460307878083555E-5</v>
      </c>
      <c r="G373" s="3">
        <f t="shared" si="41"/>
        <v>-2.0675396278427849E-3</v>
      </c>
      <c r="H373" s="3">
        <f t="shared" si="42"/>
        <v>3.0534351145038219E-2</v>
      </c>
      <c r="I373" s="3">
        <f t="shared" si="43"/>
        <v>1.1455777787018118E-2</v>
      </c>
      <c r="J373" s="13">
        <v>-0.91</v>
      </c>
      <c r="K373" s="12">
        <v>0.12</v>
      </c>
      <c r="L373" s="12">
        <v>0.03</v>
      </c>
      <c r="M373" s="20">
        <v>8.0000000000000002E-3</v>
      </c>
      <c r="N373" s="20">
        <f t="shared" si="44"/>
        <v>-7.9245396921219166E-3</v>
      </c>
      <c r="O373" s="20">
        <f t="shared" si="45"/>
        <v>2.2534351145038219E-2</v>
      </c>
      <c r="P373" s="20">
        <f t="shared" si="46"/>
        <v>-1.0067539627842785E-2</v>
      </c>
      <c r="Q373" s="20">
        <f t="shared" si="47"/>
        <v>3.4557777870181175E-3</v>
      </c>
    </row>
    <row r="374" spans="1:17" x14ac:dyDescent="0.2">
      <c r="A374" s="1">
        <v>45105</v>
      </c>
      <c r="B374">
        <v>131.94999999999999</v>
      </c>
      <c r="C374">
        <v>57.38</v>
      </c>
      <c r="D374">
        <v>41.09</v>
      </c>
      <c r="E374" s="2">
        <v>4376.8599999999997</v>
      </c>
      <c r="F374" s="3">
        <f t="shared" si="40"/>
        <v>-4.3763676148796948E-3</v>
      </c>
      <c r="G374" s="3">
        <f t="shared" si="41"/>
        <v>-9.3232044198895414E-3</v>
      </c>
      <c r="H374" s="3">
        <f t="shared" si="42"/>
        <v>-1.8160095579450419E-2</v>
      </c>
      <c r="I374" s="3">
        <f t="shared" si="43"/>
        <v>-3.5400978894173374E-4</v>
      </c>
      <c r="J374" s="12">
        <v>0.22</v>
      </c>
      <c r="K374" s="14">
        <v>-0.5</v>
      </c>
      <c r="L374" s="12">
        <v>0.05</v>
      </c>
      <c r="M374" s="20">
        <v>8.0000000000000002E-3</v>
      </c>
      <c r="N374" s="20">
        <f t="shared" si="44"/>
        <v>-1.2376367614879695E-2</v>
      </c>
      <c r="O374" s="20">
        <f t="shared" si="45"/>
        <v>-2.6160095579450419E-2</v>
      </c>
      <c r="P374" s="20">
        <f t="shared" si="46"/>
        <v>-1.7323204419889542E-2</v>
      </c>
      <c r="Q374" s="20">
        <f t="shared" si="47"/>
        <v>-8.3540097889417339E-3</v>
      </c>
    </row>
    <row r="375" spans="1:17" x14ac:dyDescent="0.2">
      <c r="A375" s="1">
        <v>45106</v>
      </c>
      <c r="B375">
        <v>136.56</v>
      </c>
      <c r="C375">
        <v>56.91</v>
      </c>
      <c r="D375">
        <v>40.799999999999997</v>
      </c>
      <c r="E375" s="2">
        <v>4396.4399999999996</v>
      </c>
      <c r="F375" s="3">
        <f t="shared" si="40"/>
        <v>3.4937476316786675E-2</v>
      </c>
      <c r="G375" s="3">
        <f t="shared" si="41"/>
        <v>-8.1910073196236333E-3</v>
      </c>
      <c r="H375" s="3">
        <f t="shared" si="42"/>
        <v>-7.0576782672184812E-3</v>
      </c>
      <c r="I375" s="3">
        <f t="shared" si="43"/>
        <v>4.4735266835127518E-3</v>
      </c>
      <c r="J375" s="13">
        <v>-0.38</v>
      </c>
      <c r="K375" s="13">
        <v>-0.06</v>
      </c>
      <c r="L375" s="12">
        <v>0.48</v>
      </c>
      <c r="M375" s="20">
        <v>8.0000000000000002E-3</v>
      </c>
      <c r="N375" s="20">
        <f t="shared" si="44"/>
        <v>2.6937476316786675E-2</v>
      </c>
      <c r="O375" s="20">
        <f t="shared" si="45"/>
        <v>-1.5057678267218481E-2</v>
      </c>
      <c r="P375" s="20">
        <f t="shared" si="46"/>
        <v>-1.6191007319623633E-2</v>
      </c>
      <c r="Q375" s="20">
        <f t="shared" si="47"/>
        <v>-3.5264733164872483E-3</v>
      </c>
    </row>
    <row r="376" spans="1:17" x14ac:dyDescent="0.2">
      <c r="A376" s="1">
        <v>45107</v>
      </c>
      <c r="B376">
        <v>138.47</v>
      </c>
      <c r="C376">
        <v>57.1</v>
      </c>
      <c r="D376">
        <v>42.28</v>
      </c>
      <c r="E376" s="2">
        <v>4450.38</v>
      </c>
      <c r="F376" s="3">
        <f t="shared" si="40"/>
        <v>1.3986526069127203E-2</v>
      </c>
      <c r="G376" s="3">
        <f t="shared" si="41"/>
        <v>3.3386048146195613E-3</v>
      </c>
      <c r="H376" s="3">
        <f t="shared" si="42"/>
        <v>3.6274509803921662E-2</v>
      </c>
      <c r="I376" s="3">
        <f t="shared" si="43"/>
        <v>1.2269017659743087E-2</v>
      </c>
      <c r="J376" s="12">
        <v>0.17</v>
      </c>
      <c r="K376" s="13">
        <v>-0.12</v>
      </c>
      <c r="L376" s="12">
        <v>0.01</v>
      </c>
      <c r="M376" s="20">
        <v>8.0000000000000002E-3</v>
      </c>
      <c r="N376" s="20">
        <f t="shared" si="44"/>
        <v>5.9865260691272029E-3</v>
      </c>
      <c r="O376" s="20">
        <f t="shared" si="45"/>
        <v>2.8274509803921662E-2</v>
      </c>
      <c r="P376" s="20">
        <f t="shared" si="46"/>
        <v>-4.6613951853804389E-3</v>
      </c>
      <c r="Q376" s="20">
        <f t="shared" si="47"/>
        <v>4.2690176597430865E-3</v>
      </c>
    </row>
    <row r="377" spans="1:17" x14ac:dyDescent="0.2">
      <c r="A377" s="1">
        <v>45110</v>
      </c>
      <c r="B377">
        <v>139.59</v>
      </c>
      <c r="C377">
        <v>57.44</v>
      </c>
      <c r="D377">
        <v>42.39</v>
      </c>
      <c r="E377" s="2">
        <v>4455.59</v>
      </c>
      <c r="F377" s="3">
        <f t="shared" si="40"/>
        <v>8.0883945981078398E-3</v>
      </c>
      <c r="G377" s="3">
        <f t="shared" si="41"/>
        <v>5.9544658493870806E-3</v>
      </c>
      <c r="H377" s="3">
        <f t="shared" si="42"/>
        <v>2.6017029328286867E-3</v>
      </c>
      <c r="I377" s="3">
        <f t="shared" si="43"/>
        <v>1.1706865481149187E-3</v>
      </c>
      <c r="J377" s="15">
        <v>1.25</v>
      </c>
      <c r="K377" s="13">
        <v>-0.31</v>
      </c>
      <c r="L377" s="12">
        <v>0.02</v>
      </c>
      <c r="M377" s="20">
        <v>8.0000000000000002E-3</v>
      </c>
      <c r="N377" s="20">
        <f t="shared" si="44"/>
        <v>8.8394598107839617E-5</v>
      </c>
      <c r="O377" s="20">
        <f t="shared" si="45"/>
        <v>-5.3982970671713135E-3</v>
      </c>
      <c r="P377" s="20">
        <f t="shared" si="46"/>
        <v>-2.0455341506129196E-3</v>
      </c>
      <c r="Q377" s="20">
        <f t="shared" si="47"/>
        <v>-6.8293134518850815E-3</v>
      </c>
    </row>
    <row r="378" spans="1:17" x14ac:dyDescent="0.2">
      <c r="A378" s="1">
        <v>45112</v>
      </c>
      <c r="B378">
        <v>138.66</v>
      </c>
      <c r="C378">
        <v>57.86</v>
      </c>
      <c r="D378">
        <v>42.29</v>
      </c>
      <c r="E378" s="2">
        <v>4446.82</v>
      </c>
      <c r="F378" s="3">
        <f t="shared" si="40"/>
        <v>-6.6623683644960741E-3</v>
      </c>
      <c r="G378" s="3">
        <f t="shared" si="41"/>
        <v>7.3119777158774379E-3</v>
      </c>
      <c r="H378" s="3">
        <f t="shared" si="42"/>
        <v>-2.3590469450341933E-3</v>
      </c>
      <c r="I378" s="3">
        <f t="shared" si="43"/>
        <v>-1.9683139606652134E-3</v>
      </c>
      <c r="J378" s="12">
        <v>0.49</v>
      </c>
      <c r="K378" s="13">
        <v>-0.06</v>
      </c>
      <c r="L378" s="12">
        <v>0.23</v>
      </c>
      <c r="M378" s="21">
        <v>0.01</v>
      </c>
      <c r="N378" s="20">
        <f t="shared" si="44"/>
        <v>-1.6662368364496076E-2</v>
      </c>
      <c r="O378" s="20">
        <f t="shared" si="45"/>
        <v>-1.2359046945034194E-2</v>
      </c>
      <c r="P378" s="20">
        <f t="shared" si="46"/>
        <v>-2.6880222841225623E-3</v>
      </c>
      <c r="Q378" s="20">
        <f t="shared" si="47"/>
        <v>-1.1968313960665214E-2</v>
      </c>
    </row>
    <row r="379" spans="1:17" x14ac:dyDescent="0.2">
      <c r="A379" s="1">
        <v>45113</v>
      </c>
      <c r="B379">
        <v>137.29</v>
      </c>
      <c r="C379">
        <v>57.42</v>
      </c>
      <c r="D379">
        <v>42.08</v>
      </c>
      <c r="E379" s="2">
        <v>4411.59</v>
      </c>
      <c r="F379" s="3">
        <f t="shared" si="40"/>
        <v>-9.880282705899357E-3</v>
      </c>
      <c r="G379" s="3">
        <f t="shared" si="41"/>
        <v>-7.6045627376425395E-3</v>
      </c>
      <c r="H379" s="3">
        <f t="shared" si="42"/>
        <v>-4.9657129344998774E-3</v>
      </c>
      <c r="I379" s="3">
        <f t="shared" si="43"/>
        <v>-7.9225154155103672E-3</v>
      </c>
      <c r="J379" s="12">
        <v>0.26</v>
      </c>
      <c r="K379" s="13">
        <v>-0.24</v>
      </c>
      <c r="L379" s="12">
        <v>0.57999999999999996</v>
      </c>
      <c r="M379" s="21">
        <v>0.01</v>
      </c>
      <c r="N379" s="20">
        <f t="shared" si="44"/>
        <v>-1.9880282705899359E-2</v>
      </c>
      <c r="O379" s="20">
        <f t="shared" si="45"/>
        <v>-1.4965712934499878E-2</v>
      </c>
      <c r="P379" s="20">
        <f t="shared" si="46"/>
        <v>-1.7604562737642541E-2</v>
      </c>
      <c r="Q379" s="20">
        <f t="shared" si="47"/>
        <v>-1.7922515415510369E-2</v>
      </c>
    </row>
    <row r="380" spans="1:17" x14ac:dyDescent="0.2">
      <c r="A380" s="1">
        <v>45114</v>
      </c>
      <c r="B380">
        <v>138.37</v>
      </c>
      <c r="C380">
        <v>56.66</v>
      </c>
      <c r="D380">
        <v>42.48</v>
      </c>
      <c r="E380" s="2">
        <v>4398.95</v>
      </c>
      <c r="F380" s="3">
        <f t="shared" si="40"/>
        <v>7.8665598368419243E-3</v>
      </c>
      <c r="G380" s="3">
        <f t="shared" si="41"/>
        <v>-1.3235806339254697E-2</v>
      </c>
      <c r="H380" s="3">
        <f t="shared" si="42"/>
        <v>9.5057034220531467E-3</v>
      </c>
      <c r="I380" s="3">
        <f t="shared" si="43"/>
        <v>-2.8651801277997935E-3</v>
      </c>
      <c r="J380" s="14">
        <v>-0.4</v>
      </c>
      <c r="K380" s="12">
        <v>0.28999999999999998</v>
      </c>
      <c r="L380" s="17">
        <v>-1.26</v>
      </c>
      <c r="M380" s="21">
        <v>0.01</v>
      </c>
      <c r="N380" s="20">
        <f t="shared" si="44"/>
        <v>-2.1334401631580759E-3</v>
      </c>
      <c r="O380" s="20">
        <f t="shared" si="45"/>
        <v>-4.9429657794685354E-4</v>
      </c>
      <c r="P380" s="20">
        <f t="shared" si="46"/>
        <v>-2.3235806339254698E-2</v>
      </c>
      <c r="Q380" s="20">
        <f t="shared" si="47"/>
        <v>-1.2865180127799794E-2</v>
      </c>
    </row>
    <row r="381" spans="1:17" x14ac:dyDescent="0.2">
      <c r="A381" s="1">
        <v>45117</v>
      </c>
      <c r="B381">
        <v>139.15</v>
      </c>
      <c r="C381">
        <v>56.23</v>
      </c>
      <c r="D381">
        <v>42.16</v>
      </c>
      <c r="E381" s="2">
        <v>4409.53</v>
      </c>
      <c r="F381" s="3">
        <f t="shared" si="40"/>
        <v>5.6370600563706574E-3</v>
      </c>
      <c r="G381" s="3">
        <f t="shared" si="41"/>
        <v>-7.589128132721501E-3</v>
      </c>
      <c r="H381" s="3">
        <f t="shared" si="42"/>
        <v>-7.532956685499026E-3</v>
      </c>
      <c r="I381" s="3">
        <f t="shared" si="43"/>
        <v>2.4051194034939716E-3</v>
      </c>
      <c r="J381" s="13">
        <v>-0.28999999999999998</v>
      </c>
      <c r="K381" s="12">
        <v>0.03</v>
      </c>
      <c r="L381" s="13">
        <v>-0.21</v>
      </c>
      <c r="M381" s="21">
        <v>0.01</v>
      </c>
      <c r="N381" s="20">
        <f t="shared" si="44"/>
        <v>-4.3629399436293428E-3</v>
      </c>
      <c r="O381" s="20">
        <f t="shared" si="45"/>
        <v>-1.7532956685499028E-2</v>
      </c>
      <c r="P381" s="20">
        <f t="shared" si="46"/>
        <v>-1.7589128132721503E-2</v>
      </c>
      <c r="Q381" s="20">
        <f t="shared" si="47"/>
        <v>-7.5948805965060286E-3</v>
      </c>
    </row>
    <row r="382" spans="1:17" x14ac:dyDescent="0.2">
      <c r="A382" s="1">
        <v>45118</v>
      </c>
      <c r="B382">
        <v>141.32</v>
      </c>
      <c r="C382">
        <v>56.43</v>
      </c>
      <c r="D382">
        <v>42.38</v>
      </c>
      <c r="E382" s="2">
        <v>4439.26</v>
      </c>
      <c r="F382" s="3">
        <f t="shared" si="40"/>
        <v>1.5594681997843862E-2</v>
      </c>
      <c r="G382" s="3">
        <f t="shared" si="41"/>
        <v>3.5568202027387308E-3</v>
      </c>
      <c r="H382" s="3">
        <f t="shared" si="42"/>
        <v>5.2182163187857178E-3</v>
      </c>
      <c r="I382" s="3">
        <f t="shared" si="43"/>
        <v>6.7422151567175792E-3</v>
      </c>
      <c r="J382" s="12">
        <v>0.24</v>
      </c>
      <c r="K382" s="13">
        <v>-7.0000000000000007E-2</v>
      </c>
      <c r="L382" s="12">
        <v>0.56999999999999995</v>
      </c>
      <c r="M382" s="21">
        <v>0.01</v>
      </c>
      <c r="N382" s="20">
        <f t="shared" si="44"/>
        <v>5.594681997843862E-3</v>
      </c>
      <c r="O382" s="20">
        <f t="shared" si="45"/>
        <v>-4.7817836812142824E-3</v>
      </c>
      <c r="P382" s="20">
        <f t="shared" si="46"/>
        <v>-6.4431797972612694E-3</v>
      </c>
      <c r="Q382" s="20">
        <f t="shared" si="47"/>
        <v>-3.257784843282421E-3</v>
      </c>
    </row>
    <row r="383" spans="1:17" x14ac:dyDescent="0.2">
      <c r="A383" s="1">
        <v>45119</v>
      </c>
      <c r="B383">
        <v>142.02000000000001</v>
      </c>
      <c r="C383">
        <v>56.74</v>
      </c>
      <c r="D383">
        <v>43.88</v>
      </c>
      <c r="E383" s="2">
        <v>4472.16</v>
      </c>
      <c r="F383" s="3">
        <f t="shared" si="40"/>
        <v>4.9532974808945696E-3</v>
      </c>
      <c r="G383" s="3">
        <f t="shared" si="41"/>
        <v>5.4935318093212171E-3</v>
      </c>
      <c r="H383" s="3">
        <f t="shared" si="42"/>
        <v>3.5394053798961878E-2</v>
      </c>
      <c r="I383" s="3">
        <f t="shared" si="43"/>
        <v>7.4111451007599083E-3</v>
      </c>
      <c r="J383" s="13">
        <v>-0.74</v>
      </c>
      <c r="K383" s="12">
        <v>0.51</v>
      </c>
      <c r="L383" s="13">
        <v>-0.76</v>
      </c>
      <c r="M383" s="21">
        <v>0.01</v>
      </c>
      <c r="N383" s="20">
        <f t="shared" si="44"/>
        <v>-5.0467025191054306E-3</v>
      </c>
      <c r="O383" s="20">
        <f t="shared" si="45"/>
        <v>2.5394053798961876E-2</v>
      </c>
      <c r="P383" s="20">
        <f t="shared" si="46"/>
        <v>-4.5064681906787831E-3</v>
      </c>
      <c r="Q383" s="20">
        <f t="shared" si="47"/>
        <v>-2.5888548992400919E-3</v>
      </c>
    </row>
    <row r="384" spans="1:17" x14ac:dyDescent="0.2">
      <c r="A384" s="1">
        <v>45120</v>
      </c>
      <c r="B384">
        <v>142.71</v>
      </c>
      <c r="C384">
        <v>57.22</v>
      </c>
      <c r="D384">
        <v>45.95</v>
      </c>
      <c r="E384" s="2">
        <v>4510.04</v>
      </c>
      <c r="F384" s="3">
        <f t="shared" si="40"/>
        <v>4.8584706379382059E-3</v>
      </c>
      <c r="G384" s="3">
        <f t="shared" si="41"/>
        <v>8.4596404652801382E-3</v>
      </c>
      <c r="H384" s="3">
        <f t="shared" si="42"/>
        <v>4.7174111212397341E-2</v>
      </c>
      <c r="I384" s="3">
        <f t="shared" si="43"/>
        <v>8.4701799577833192E-3</v>
      </c>
      <c r="J384" s="13">
        <v>-0.32</v>
      </c>
      <c r="K384" s="13">
        <v>-0.13</v>
      </c>
      <c r="L384" s="12">
        <v>0.21</v>
      </c>
      <c r="M384" s="21">
        <v>0.01</v>
      </c>
      <c r="N384" s="20">
        <f t="shared" si="44"/>
        <v>-5.1415293620617943E-3</v>
      </c>
      <c r="O384" s="20">
        <f t="shared" si="45"/>
        <v>3.7174111212397339E-2</v>
      </c>
      <c r="P384" s="20">
        <f t="shared" si="46"/>
        <v>-1.540359534719862E-3</v>
      </c>
      <c r="Q384" s="20">
        <f t="shared" si="47"/>
        <v>-1.529820042216681E-3</v>
      </c>
    </row>
    <row r="385" spans="1:17" x14ac:dyDescent="0.2">
      <c r="A385" s="1">
        <v>45121</v>
      </c>
      <c r="B385">
        <v>143.58000000000001</v>
      </c>
      <c r="C385">
        <v>57.74</v>
      </c>
      <c r="D385">
        <v>45.44</v>
      </c>
      <c r="E385" s="2">
        <v>4505.42</v>
      </c>
      <c r="F385" s="3">
        <f t="shared" si="40"/>
        <v>6.0962791675425176E-3</v>
      </c>
      <c r="G385" s="3">
        <f t="shared" si="41"/>
        <v>9.0877315623907329E-3</v>
      </c>
      <c r="H385" s="3">
        <f t="shared" si="42"/>
        <v>-1.109902067464652E-2</v>
      </c>
      <c r="I385" s="3">
        <f t="shared" si="43"/>
        <v>-1.0243811584819129E-3</v>
      </c>
      <c r="J385" s="13">
        <v>-0.51</v>
      </c>
      <c r="K385" s="14">
        <v>-0.3</v>
      </c>
      <c r="L385" s="13">
        <v>-0.38</v>
      </c>
      <c r="M385" s="21">
        <v>0.01</v>
      </c>
      <c r="N385" s="20">
        <f t="shared" si="44"/>
        <v>-3.9037208324574826E-3</v>
      </c>
      <c r="O385" s="20">
        <f t="shared" si="45"/>
        <v>-2.1099020674646522E-2</v>
      </c>
      <c r="P385" s="20">
        <f t="shared" si="46"/>
        <v>-9.1226843760926733E-4</v>
      </c>
      <c r="Q385" s="20">
        <f t="shared" si="47"/>
        <v>-1.1024381158481913E-2</v>
      </c>
    </row>
    <row r="386" spans="1:17" x14ac:dyDescent="0.2">
      <c r="A386" s="1">
        <v>45124</v>
      </c>
      <c r="B386">
        <v>147.04</v>
      </c>
      <c r="C386">
        <v>57.66</v>
      </c>
      <c r="D386">
        <v>46.44</v>
      </c>
      <c r="E386" s="2">
        <v>4522.79</v>
      </c>
      <c r="F386" s="3">
        <f t="shared" si="40"/>
        <v>2.4098063797186153E-2</v>
      </c>
      <c r="G386" s="3">
        <f t="shared" si="41"/>
        <v>-1.3855213023901136E-3</v>
      </c>
      <c r="H386" s="3">
        <f t="shared" si="42"/>
        <v>2.2007042253521236E-2</v>
      </c>
      <c r="I386" s="3">
        <f t="shared" si="43"/>
        <v>3.8553564373575711E-3</v>
      </c>
      <c r="J386" s="12">
        <v>0.04</v>
      </c>
      <c r="K386" s="12">
        <v>0.26</v>
      </c>
      <c r="L386" s="13">
        <v>-0.11</v>
      </c>
      <c r="M386" s="21">
        <v>0.01</v>
      </c>
      <c r="N386" s="20">
        <f t="shared" si="44"/>
        <v>1.4098063797186153E-2</v>
      </c>
      <c r="O386" s="20">
        <f t="shared" si="45"/>
        <v>1.2007042253521236E-2</v>
      </c>
      <c r="P386" s="20">
        <f t="shared" si="46"/>
        <v>-1.1385521302390114E-2</v>
      </c>
      <c r="Q386" s="20">
        <f t="shared" si="47"/>
        <v>-6.1446435626424292E-3</v>
      </c>
    </row>
    <row r="387" spans="1:17" x14ac:dyDescent="0.2">
      <c r="A387" s="1">
        <v>45125</v>
      </c>
      <c r="B387">
        <v>147.30000000000001</v>
      </c>
      <c r="C387">
        <v>57.43</v>
      </c>
      <c r="D387">
        <v>47.47</v>
      </c>
      <c r="E387" s="2">
        <v>4554.9799999999996</v>
      </c>
      <c r="F387" s="3">
        <f t="shared" si="40"/>
        <v>1.7682263329708015E-3</v>
      </c>
      <c r="G387" s="3">
        <f t="shared" si="41"/>
        <v>-3.9889004509191528E-3</v>
      </c>
      <c r="H387" s="3">
        <f t="shared" si="42"/>
        <v>2.2179155900086123E-2</v>
      </c>
      <c r="I387" s="3">
        <f t="shared" si="43"/>
        <v>7.1172882225352119E-3</v>
      </c>
      <c r="J387" s="12">
        <v>0.69</v>
      </c>
      <c r="K387" s="11">
        <v>0</v>
      </c>
      <c r="L387" s="13">
        <v>-0.87</v>
      </c>
      <c r="M387" s="21">
        <v>0.01</v>
      </c>
      <c r="N387" s="20">
        <f t="shared" si="44"/>
        <v>-8.2317736670291988E-3</v>
      </c>
      <c r="O387" s="20">
        <f t="shared" si="45"/>
        <v>1.2179155900086122E-2</v>
      </c>
      <c r="P387" s="20">
        <f t="shared" si="46"/>
        <v>-1.3988900450919153E-2</v>
      </c>
      <c r="Q387" s="20">
        <f t="shared" si="47"/>
        <v>-2.8827117774647883E-3</v>
      </c>
    </row>
    <row r="388" spans="1:17" x14ac:dyDescent="0.2">
      <c r="A388" s="1">
        <v>45126</v>
      </c>
      <c r="B388">
        <v>147.87</v>
      </c>
      <c r="C388">
        <v>58.44</v>
      </c>
      <c r="D388">
        <v>47.05</v>
      </c>
      <c r="E388" s="2">
        <v>4565.72</v>
      </c>
      <c r="F388" s="3">
        <f t="shared" ref="F388:F451" si="48">(B388/B387)-1</f>
        <v>3.8696537678206688E-3</v>
      </c>
      <c r="G388" s="3">
        <f t="shared" ref="G388:G451" si="49">(C388/C387)-1</f>
        <v>1.7586627198328264E-2</v>
      </c>
      <c r="H388" s="3">
        <f t="shared" ref="H388:H451" si="50">(D388/D387)-1</f>
        <v>-8.8476932799663732E-3</v>
      </c>
      <c r="I388" s="3">
        <f t="shared" ref="I388:I451" si="51">(E388/E387)-1</f>
        <v>2.3578588709500803E-3</v>
      </c>
      <c r="J388" s="13">
        <v>-0.01</v>
      </c>
      <c r="K388" s="12">
        <v>0.68</v>
      </c>
      <c r="L388" s="13">
        <v>-0.01</v>
      </c>
      <c r="M388" s="21">
        <v>0.01</v>
      </c>
      <c r="N388" s="20">
        <f t="shared" ref="N388:N451" si="52">F388-M388</f>
        <v>-6.1303462321793314E-3</v>
      </c>
      <c r="O388" s="20">
        <f t="shared" ref="O388:O451" si="53">H388-M388</f>
        <v>-1.8847693279966375E-2</v>
      </c>
      <c r="P388" s="20">
        <f t="shared" ref="P388:P451" si="54">G388-M388</f>
        <v>7.5866271983282638E-3</v>
      </c>
      <c r="Q388" s="20">
        <f t="shared" ref="Q388:Q451" si="55">I388-M388</f>
        <v>-7.6421411290499199E-3</v>
      </c>
    </row>
    <row r="389" spans="1:17" x14ac:dyDescent="0.2">
      <c r="A389" s="1">
        <v>45127</v>
      </c>
      <c r="B389">
        <v>149.69</v>
      </c>
      <c r="C389">
        <v>59.15</v>
      </c>
      <c r="D389">
        <v>45.5</v>
      </c>
      <c r="E389" s="2">
        <v>4534.87</v>
      </c>
      <c r="F389" s="3">
        <f t="shared" si="48"/>
        <v>1.2308108473659152E-2</v>
      </c>
      <c r="G389" s="3">
        <f t="shared" si="49"/>
        <v>1.2149212867898607E-2</v>
      </c>
      <c r="H389" s="3">
        <f t="shared" si="50"/>
        <v>-3.2943676939426125E-2</v>
      </c>
      <c r="I389" s="3">
        <f t="shared" si="51"/>
        <v>-6.7568751478409572E-3</v>
      </c>
      <c r="J389" s="12">
        <v>0.02</v>
      </c>
      <c r="K389" s="11">
        <v>0.4</v>
      </c>
      <c r="L389" s="11">
        <v>0.1</v>
      </c>
      <c r="M389" s="21">
        <v>0.01</v>
      </c>
      <c r="N389" s="20">
        <f t="shared" si="52"/>
        <v>2.3081084736591515E-3</v>
      </c>
      <c r="O389" s="20">
        <f t="shared" si="53"/>
        <v>-4.2943676939426127E-2</v>
      </c>
      <c r="P389" s="20">
        <f t="shared" si="54"/>
        <v>2.1492128678986065E-3</v>
      </c>
      <c r="Q389" s="20">
        <f t="shared" si="55"/>
        <v>-1.6756875147840959E-2</v>
      </c>
    </row>
    <row r="390" spans="1:17" x14ac:dyDescent="0.2">
      <c r="A390" s="1">
        <v>45128</v>
      </c>
      <c r="B390">
        <v>148.54</v>
      </c>
      <c r="C390">
        <v>59.2</v>
      </c>
      <c r="D390">
        <v>44.28</v>
      </c>
      <c r="E390" s="2">
        <v>4536.34</v>
      </c>
      <c r="F390" s="3">
        <f t="shared" si="48"/>
        <v>-7.6825439241098303E-3</v>
      </c>
      <c r="G390" s="3">
        <f t="shared" si="49"/>
        <v>8.453085376163294E-4</v>
      </c>
      <c r="H390" s="3">
        <f t="shared" si="50"/>
        <v>-2.6813186813186785E-2</v>
      </c>
      <c r="I390" s="3">
        <f t="shared" si="51"/>
        <v>3.2415482692993436E-4</v>
      </c>
      <c r="J390" s="17">
        <v>-1.26</v>
      </c>
      <c r="K390" s="12">
        <v>0.02</v>
      </c>
      <c r="L390" s="13">
        <v>-0.27</v>
      </c>
      <c r="M390" s="21">
        <v>0.01</v>
      </c>
      <c r="N390" s="20">
        <f t="shared" si="52"/>
        <v>-1.7682543924109832E-2</v>
      </c>
      <c r="O390" s="20">
        <f t="shared" si="53"/>
        <v>-3.6813186813186786E-2</v>
      </c>
      <c r="P390" s="20">
        <f t="shared" si="54"/>
        <v>-9.1546914623836708E-3</v>
      </c>
      <c r="Q390" s="20">
        <f t="shared" si="55"/>
        <v>-9.6758451730700658E-3</v>
      </c>
    </row>
    <row r="391" spans="1:17" x14ac:dyDescent="0.2">
      <c r="A391" s="1">
        <v>45131</v>
      </c>
      <c r="B391">
        <v>151.46</v>
      </c>
      <c r="C391">
        <v>59.22</v>
      </c>
      <c r="D391">
        <v>44.59</v>
      </c>
      <c r="E391" s="2">
        <v>4554.6400000000003</v>
      </c>
      <c r="F391" s="3">
        <f t="shared" si="48"/>
        <v>1.9658004577891575E-2</v>
      </c>
      <c r="G391" s="3">
        <f t="shared" si="49"/>
        <v>3.3783783783780663E-4</v>
      </c>
      <c r="H391" s="3">
        <f t="shared" si="50"/>
        <v>7.0009033423668043E-3</v>
      </c>
      <c r="I391" s="3">
        <f t="shared" si="51"/>
        <v>4.0340891555747938E-3</v>
      </c>
      <c r="J391" s="12">
        <v>0.34</v>
      </c>
      <c r="K391" s="13">
        <v>-0.54</v>
      </c>
      <c r="L391" s="14">
        <v>-0.1</v>
      </c>
      <c r="M391" s="21">
        <v>0.01</v>
      </c>
      <c r="N391" s="20">
        <f t="shared" si="52"/>
        <v>9.6580045778915744E-3</v>
      </c>
      <c r="O391" s="20">
        <f t="shared" si="53"/>
        <v>-2.9990966576331959E-3</v>
      </c>
      <c r="P391" s="20">
        <f t="shared" si="54"/>
        <v>-9.6621621621621936E-3</v>
      </c>
      <c r="Q391" s="20">
        <f t="shared" si="55"/>
        <v>-5.9659108444252065E-3</v>
      </c>
    </row>
    <row r="392" spans="1:17" x14ac:dyDescent="0.2">
      <c r="A392" s="1">
        <v>45132</v>
      </c>
      <c r="B392">
        <v>150.33000000000001</v>
      </c>
      <c r="C392">
        <v>59.02</v>
      </c>
      <c r="D392">
        <v>45.65</v>
      </c>
      <c r="E392" s="2">
        <v>4567.46</v>
      </c>
      <c r="F392" s="3">
        <f t="shared" si="48"/>
        <v>-7.460715700514986E-3</v>
      </c>
      <c r="G392" s="3">
        <f t="shared" si="49"/>
        <v>-3.3772374197905686E-3</v>
      </c>
      <c r="H392" s="3">
        <f t="shared" si="50"/>
        <v>2.3772146221125778E-2</v>
      </c>
      <c r="I392" s="3">
        <f t="shared" si="51"/>
        <v>2.8147120299297779E-3</v>
      </c>
      <c r="J392" s="13">
        <v>-0.81</v>
      </c>
      <c r="K392" s="11">
        <v>0.2</v>
      </c>
      <c r="L392" s="12">
        <v>0.44</v>
      </c>
      <c r="M392" s="21">
        <v>0.01</v>
      </c>
      <c r="N392" s="20">
        <f t="shared" si="52"/>
        <v>-1.7460715700514988E-2</v>
      </c>
      <c r="O392" s="20">
        <f t="shared" si="53"/>
        <v>1.3772146221125778E-2</v>
      </c>
      <c r="P392" s="20">
        <f t="shared" si="54"/>
        <v>-1.3377237419790569E-2</v>
      </c>
      <c r="Q392" s="20">
        <f t="shared" si="55"/>
        <v>-7.1852879700702223E-3</v>
      </c>
    </row>
    <row r="393" spans="1:17" x14ac:dyDescent="0.2">
      <c r="A393" s="1">
        <v>45133</v>
      </c>
      <c r="B393">
        <v>151.22999999999999</v>
      </c>
      <c r="C393">
        <v>59.78</v>
      </c>
      <c r="D393">
        <v>45.43</v>
      </c>
      <c r="E393" s="2">
        <v>4566.75</v>
      </c>
      <c r="F393" s="3">
        <f t="shared" si="48"/>
        <v>5.9868289762521343E-3</v>
      </c>
      <c r="G393" s="3">
        <f t="shared" si="49"/>
        <v>1.2876990850559045E-2</v>
      </c>
      <c r="H393" s="3">
        <f t="shared" si="50"/>
        <v>-4.8192771084336616E-3</v>
      </c>
      <c r="I393" s="3">
        <f t="shared" si="51"/>
        <v>-1.5544744781559316E-4</v>
      </c>
      <c r="J393" s="17">
        <v>-1.02</v>
      </c>
      <c r="K393" s="14">
        <v>-0.1</v>
      </c>
      <c r="L393" s="12">
        <v>0.24</v>
      </c>
      <c r="M393" s="21">
        <v>0.01</v>
      </c>
      <c r="N393" s="20">
        <f t="shared" si="52"/>
        <v>-4.0131710237478659E-3</v>
      </c>
      <c r="O393" s="20">
        <f t="shared" si="53"/>
        <v>-1.4819277108433662E-2</v>
      </c>
      <c r="P393" s="20">
        <f t="shared" si="54"/>
        <v>2.8769908505590445E-3</v>
      </c>
      <c r="Q393" s="20">
        <f t="shared" si="55"/>
        <v>-1.0155447447815593E-2</v>
      </c>
    </row>
    <row r="394" spans="1:17" x14ac:dyDescent="0.2">
      <c r="A394" s="1">
        <v>45134</v>
      </c>
      <c r="B394">
        <v>149.57</v>
      </c>
      <c r="C394">
        <v>59.2</v>
      </c>
      <c r="D394">
        <v>45.87</v>
      </c>
      <c r="E394" s="2">
        <v>4537.41</v>
      </c>
      <c r="F394" s="3">
        <f t="shared" si="48"/>
        <v>-1.0976658070488643E-2</v>
      </c>
      <c r="G394" s="3">
        <f t="shared" si="49"/>
        <v>-9.7022415523586591E-3</v>
      </c>
      <c r="H394" s="3">
        <f t="shared" si="50"/>
        <v>9.6852300242129541E-3</v>
      </c>
      <c r="I394" s="3">
        <f t="shared" si="51"/>
        <v>-6.4247002791920638E-3</v>
      </c>
      <c r="J394" s="13">
        <v>-0.76</v>
      </c>
      <c r="K394" s="12">
        <v>0.82</v>
      </c>
      <c r="L394" s="13">
        <v>-0.81</v>
      </c>
      <c r="M394" s="21">
        <v>0.01</v>
      </c>
      <c r="N394" s="20">
        <f t="shared" si="52"/>
        <v>-2.0976658070488645E-2</v>
      </c>
      <c r="O394" s="20">
        <f t="shared" si="53"/>
        <v>-3.1476997578704612E-4</v>
      </c>
      <c r="P394" s="20">
        <f t="shared" si="54"/>
        <v>-1.9702241552358661E-2</v>
      </c>
      <c r="Q394" s="20">
        <f t="shared" si="55"/>
        <v>-1.6424700279192066E-2</v>
      </c>
    </row>
    <row r="395" spans="1:17" x14ac:dyDescent="0.2">
      <c r="A395" s="1">
        <v>45135</v>
      </c>
      <c r="B395">
        <v>150.41999999999999</v>
      </c>
      <c r="C395">
        <v>59.24</v>
      </c>
      <c r="D395">
        <v>46.72</v>
      </c>
      <c r="E395" s="2">
        <v>4582.2299999999996</v>
      </c>
      <c r="F395" s="3">
        <f t="shared" si="48"/>
        <v>5.6829578123955837E-3</v>
      </c>
      <c r="G395" s="3">
        <f t="shared" si="49"/>
        <v>6.7567567567561326E-4</v>
      </c>
      <c r="H395" s="3">
        <f t="shared" si="50"/>
        <v>1.8530630041421414E-2</v>
      </c>
      <c r="I395" s="3">
        <f t="shared" si="51"/>
        <v>9.8778818753428865E-3</v>
      </c>
      <c r="J395" s="13">
        <v>-0.69</v>
      </c>
      <c r="K395" s="13">
        <v>-0.02</v>
      </c>
      <c r="L395" s="12">
        <v>0.31</v>
      </c>
      <c r="M395" s="21">
        <v>0.01</v>
      </c>
      <c r="N395" s="20">
        <f t="shared" si="52"/>
        <v>-4.3170421876044165E-3</v>
      </c>
      <c r="O395" s="20">
        <f t="shared" si="53"/>
        <v>8.530630041421414E-3</v>
      </c>
      <c r="P395" s="20">
        <f t="shared" si="54"/>
        <v>-9.3243243243243869E-3</v>
      </c>
      <c r="Q395" s="20">
        <f t="shared" si="55"/>
        <v>-1.2211812465711368E-4</v>
      </c>
    </row>
    <row r="396" spans="1:17" x14ac:dyDescent="0.2">
      <c r="A396" s="1">
        <v>45138</v>
      </c>
      <c r="B396">
        <v>151.43</v>
      </c>
      <c r="C396">
        <v>58.72</v>
      </c>
      <c r="D396">
        <v>46.7</v>
      </c>
      <c r="E396" s="2">
        <v>4588.96</v>
      </c>
      <c r="F396" s="3">
        <f t="shared" si="48"/>
        <v>6.7145326419359996E-3</v>
      </c>
      <c r="G396" s="3">
        <f t="shared" si="49"/>
        <v>-8.7778528021607016E-3</v>
      </c>
      <c r="H396" s="3">
        <f t="shared" si="50"/>
        <v>-4.2808219178069873E-4</v>
      </c>
      <c r="I396" s="3">
        <f t="shared" si="51"/>
        <v>1.4687171966489831E-3</v>
      </c>
      <c r="J396" s="12">
        <v>0.37</v>
      </c>
      <c r="K396" s="14">
        <v>-0.1</v>
      </c>
      <c r="L396" s="13">
        <v>-0.44</v>
      </c>
      <c r="M396" s="21">
        <v>0.01</v>
      </c>
      <c r="N396" s="20">
        <f t="shared" si="52"/>
        <v>-3.2854673580640006E-3</v>
      </c>
      <c r="O396" s="20">
        <f t="shared" si="53"/>
        <v>-1.0428082191780699E-2</v>
      </c>
      <c r="P396" s="20">
        <f t="shared" si="54"/>
        <v>-1.8777852802160704E-2</v>
      </c>
      <c r="Q396" s="20">
        <f t="shared" si="55"/>
        <v>-8.5312828033510171E-3</v>
      </c>
    </row>
    <row r="397" spans="1:17" x14ac:dyDescent="0.2">
      <c r="A397" s="1">
        <v>45139</v>
      </c>
      <c r="B397">
        <v>150.68</v>
      </c>
      <c r="C397">
        <v>58.57</v>
      </c>
      <c r="D397">
        <v>46.48</v>
      </c>
      <c r="E397" s="2">
        <v>4576.7299999999996</v>
      </c>
      <c r="F397" s="3">
        <f t="shared" si="48"/>
        <v>-4.9527834643069424E-3</v>
      </c>
      <c r="G397" s="3">
        <f t="shared" si="49"/>
        <v>-2.5544959128065425E-3</v>
      </c>
      <c r="H397" s="3">
        <f t="shared" si="50"/>
        <v>-4.7109207708780909E-3</v>
      </c>
      <c r="I397" s="3">
        <f t="shared" si="51"/>
        <v>-2.6650918726683903E-3</v>
      </c>
      <c r="J397" s="18">
        <v>1.6</v>
      </c>
      <c r="K397" s="13">
        <v>-0.21</v>
      </c>
      <c r="L397" s="13">
        <v>-0.74</v>
      </c>
      <c r="M397" s="21">
        <v>0.01</v>
      </c>
      <c r="N397" s="20">
        <f t="shared" si="52"/>
        <v>-1.4952783464306943E-2</v>
      </c>
      <c r="O397" s="20">
        <f t="shared" si="53"/>
        <v>-1.4710920770878091E-2</v>
      </c>
      <c r="P397" s="20">
        <f t="shared" si="54"/>
        <v>-1.2554495912806543E-2</v>
      </c>
      <c r="Q397" s="20">
        <f t="shared" si="55"/>
        <v>-1.2665091872668391E-2</v>
      </c>
    </row>
    <row r="398" spans="1:17" x14ac:dyDescent="0.2">
      <c r="A398" s="1">
        <v>45140</v>
      </c>
      <c r="B398">
        <v>148.97</v>
      </c>
      <c r="C398">
        <v>58.75</v>
      </c>
      <c r="D398">
        <v>44.24</v>
      </c>
      <c r="E398" s="2">
        <v>4513.3900000000003</v>
      </c>
      <c r="F398" s="3">
        <f t="shared" si="48"/>
        <v>-1.1348553225378311E-2</v>
      </c>
      <c r="G398" s="3">
        <f t="shared" si="49"/>
        <v>3.0732456889193127E-3</v>
      </c>
      <c r="H398" s="3">
        <f t="shared" si="50"/>
        <v>-4.8192771084337283E-2</v>
      </c>
      <c r="I398" s="3">
        <f t="shared" si="51"/>
        <v>-1.383957541738301E-2</v>
      </c>
      <c r="J398" s="12">
        <v>0.05</v>
      </c>
      <c r="K398" s="12">
        <v>0.67</v>
      </c>
      <c r="L398" s="12">
        <v>0.09</v>
      </c>
      <c r="M398" s="21">
        <v>0.01</v>
      </c>
      <c r="N398" s="20">
        <f t="shared" si="52"/>
        <v>-2.1348553225378313E-2</v>
      </c>
      <c r="O398" s="20">
        <f t="shared" si="53"/>
        <v>-5.8192771084337284E-2</v>
      </c>
      <c r="P398" s="20">
        <f t="shared" si="54"/>
        <v>-6.9267543110806875E-3</v>
      </c>
      <c r="Q398" s="20">
        <f t="shared" si="55"/>
        <v>-2.3839575417383012E-2</v>
      </c>
    </row>
    <row r="399" spans="1:17" x14ac:dyDescent="0.2">
      <c r="A399" s="1">
        <v>45141</v>
      </c>
      <c r="B399">
        <v>149.88</v>
      </c>
      <c r="C399">
        <v>58.44</v>
      </c>
      <c r="D399">
        <v>44.49</v>
      </c>
      <c r="E399" s="2">
        <v>4501.8900000000003</v>
      </c>
      <c r="F399" s="3">
        <f t="shared" si="48"/>
        <v>6.1086124723097601E-3</v>
      </c>
      <c r="G399" s="3">
        <f t="shared" si="49"/>
        <v>-5.2765957446808676E-3</v>
      </c>
      <c r="H399" s="3">
        <f t="shared" si="50"/>
        <v>5.6509945750451429E-3</v>
      </c>
      <c r="I399" s="3">
        <f t="shared" si="51"/>
        <v>-2.5479739176096361E-3</v>
      </c>
      <c r="J399" s="13">
        <v>-0.41</v>
      </c>
      <c r="K399" s="12">
        <v>0.35</v>
      </c>
      <c r="L399" s="13">
        <v>-0.17</v>
      </c>
      <c r="M399" s="21">
        <v>0.01</v>
      </c>
      <c r="N399" s="20">
        <f t="shared" si="52"/>
        <v>-3.8913875276902401E-3</v>
      </c>
      <c r="O399" s="20">
        <f t="shared" si="53"/>
        <v>-4.3490054249548573E-3</v>
      </c>
      <c r="P399" s="20">
        <f t="shared" si="54"/>
        <v>-1.5276595744680868E-2</v>
      </c>
      <c r="Q399" s="20">
        <f t="shared" si="55"/>
        <v>-1.2547973917609636E-2</v>
      </c>
    </row>
    <row r="400" spans="1:17" x14ac:dyDescent="0.2">
      <c r="A400" s="1">
        <v>45142</v>
      </c>
      <c r="B400">
        <v>149.57</v>
      </c>
      <c r="C400">
        <v>57.56</v>
      </c>
      <c r="D400">
        <v>44.66</v>
      </c>
      <c r="E400" s="2">
        <v>4478.03</v>
      </c>
      <c r="F400" s="3">
        <f t="shared" si="48"/>
        <v>-2.068321323725697E-3</v>
      </c>
      <c r="G400" s="3">
        <f t="shared" si="49"/>
        <v>-1.5058179329226484E-2</v>
      </c>
      <c r="H400" s="3">
        <f t="shared" si="50"/>
        <v>3.8210833895255814E-3</v>
      </c>
      <c r="I400" s="3">
        <f t="shared" si="51"/>
        <v>-5.2999962238083898E-3</v>
      </c>
      <c r="J400" s="17">
        <v>-1.45</v>
      </c>
      <c r="K400" s="12">
        <v>0.21</v>
      </c>
      <c r="L400" s="13">
        <v>-0.98</v>
      </c>
      <c r="M400" s="21">
        <v>0.01</v>
      </c>
      <c r="N400" s="20">
        <f t="shared" si="52"/>
        <v>-1.2068321323725697E-2</v>
      </c>
      <c r="O400" s="20">
        <f t="shared" si="53"/>
        <v>-6.1789166104744189E-3</v>
      </c>
      <c r="P400" s="20">
        <f t="shared" si="54"/>
        <v>-2.5058179329226486E-2</v>
      </c>
      <c r="Q400" s="20">
        <f t="shared" si="55"/>
        <v>-1.529999622380839E-2</v>
      </c>
    </row>
    <row r="401" spans="1:17" x14ac:dyDescent="0.2">
      <c r="A401" s="1">
        <v>45145</v>
      </c>
      <c r="B401">
        <v>150.28</v>
      </c>
      <c r="C401">
        <v>58.02</v>
      </c>
      <c r="D401">
        <v>45.39</v>
      </c>
      <c r="E401" s="2">
        <v>4518.4399999999996</v>
      </c>
      <c r="F401" s="3">
        <f t="shared" si="48"/>
        <v>4.7469412315304105E-3</v>
      </c>
      <c r="G401" s="3">
        <f t="shared" si="49"/>
        <v>7.9916608756080976E-3</v>
      </c>
      <c r="H401" s="3">
        <f t="shared" si="50"/>
        <v>1.6345723242275012E-2</v>
      </c>
      <c r="I401" s="3">
        <f t="shared" si="51"/>
        <v>9.02405745383561E-3</v>
      </c>
      <c r="J401" s="14">
        <v>-0.5</v>
      </c>
      <c r="K401" s="13">
        <v>-0.55000000000000004</v>
      </c>
      <c r="L401" s="12">
        <v>0.01</v>
      </c>
      <c r="M401" s="21">
        <v>0.01</v>
      </c>
      <c r="N401" s="20">
        <f t="shared" si="52"/>
        <v>-5.2530587684695897E-3</v>
      </c>
      <c r="O401" s="20">
        <f t="shared" si="53"/>
        <v>6.3457232422750118E-3</v>
      </c>
      <c r="P401" s="20">
        <f t="shared" si="54"/>
        <v>-2.0083391243919026E-3</v>
      </c>
      <c r="Q401" s="20">
        <f t="shared" si="55"/>
        <v>-9.7594254616439023E-4</v>
      </c>
    </row>
    <row r="402" spans="1:17" x14ac:dyDescent="0.2">
      <c r="A402" s="1">
        <v>45146</v>
      </c>
      <c r="B402">
        <v>149.43</v>
      </c>
      <c r="C402">
        <v>57.76</v>
      </c>
      <c r="D402">
        <v>44.64</v>
      </c>
      <c r="E402" s="2">
        <v>4499.38</v>
      </c>
      <c r="F402" s="3">
        <f t="shared" si="48"/>
        <v>-5.6561085972850478E-3</v>
      </c>
      <c r="G402" s="3">
        <f t="shared" si="49"/>
        <v>-4.4812133746984228E-3</v>
      </c>
      <c r="H402" s="3">
        <f t="shared" si="50"/>
        <v>-1.6523463317911435E-2</v>
      </c>
      <c r="I402" s="3">
        <f t="shared" si="51"/>
        <v>-4.2182700223970526E-3</v>
      </c>
      <c r="J402" s="12">
        <v>0.76</v>
      </c>
      <c r="K402" s="13">
        <v>-0.06</v>
      </c>
      <c r="L402" s="13">
        <v>-0.32</v>
      </c>
      <c r="M402" s="21">
        <v>0.01</v>
      </c>
      <c r="N402" s="20">
        <f t="shared" si="52"/>
        <v>-1.565610859728505E-2</v>
      </c>
      <c r="O402" s="20">
        <f t="shared" si="53"/>
        <v>-2.6523463317911437E-2</v>
      </c>
      <c r="P402" s="20">
        <f t="shared" si="54"/>
        <v>-1.4481213374698423E-2</v>
      </c>
      <c r="Q402" s="20">
        <f t="shared" si="55"/>
        <v>-1.4218270022397053E-2</v>
      </c>
    </row>
    <row r="403" spans="1:17" x14ac:dyDescent="0.2">
      <c r="A403" s="1">
        <v>45147</v>
      </c>
      <c r="B403">
        <v>147.43</v>
      </c>
      <c r="C403">
        <v>57.89</v>
      </c>
      <c r="D403">
        <v>42.53</v>
      </c>
      <c r="E403" s="2">
        <v>4467.71</v>
      </c>
      <c r="F403" s="3">
        <f t="shared" si="48"/>
        <v>-1.3384193267750755E-2</v>
      </c>
      <c r="G403" s="3">
        <f t="shared" si="49"/>
        <v>2.2506925207756989E-3</v>
      </c>
      <c r="H403" s="3">
        <f t="shared" si="50"/>
        <v>-4.7267025089605674E-2</v>
      </c>
      <c r="I403" s="3">
        <f t="shared" si="51"/>
        <v>-7.0387475607750494E-3</v>
      </c>
      <c r="J403" s="13">
        <v>-0.01</v>
      </c>
      <c r="K403" s="12">
        <v>0.09</v>
      </c>
      <c r="L403" s="12">
        <v>0.15</v>
      </c>
      <c r="M403" s="20">
        <v>8.9999999999999993E-3</v>
      </c>
      <c r="N403" s="20">
        <f t="shared" si="52"/>
        <v>-2.2384193267750756E-2</v>
      </c>
      <c r="O403" s="20">
        <f t="shared" si="53"/>
        <v>-5.6267025089605675E-2</v>
      </c>
      <c r="P403" s="20">
        <f t="shared" si="54"/>
        <v>-6.7493074792243004E-3</v>
      </c>
      <c r="Q403" s="20">
        <f t="shared" si="55"/>
        <v>-1.603874756077505E-2</v>
      </c>
    </row>
    <row r="404" spans="1:17" x14ac:dyDescent="0.2">
      <c r="A404" s="1">
        <v>45148</v>
      </c>
      <c r="B404">
        <v>147.21</v>
      </c>
      <c r="C404">
        <v>57.76</v>
      </c>
      <c r="D404">
        <v>42.36</v>
      </c>
      <c r="E404" s="2">
        <v>4468.83</v>
      </c>
      <c r="F404" s="3">
        <f t="shared" si="48"/>
        <v>-1.4922336023875937E-3</v>
      </c>
      <c r="G404" s="3">
        <f t="shared" si="49"/>
        <v>-2.2456382794956431E-3</v>
      </c>
      <c r="H404" s="3">
        <f t="shared" si="50"/>
        <v>-3.9971784622619966E-3</v>
      </c>
      <c r="I404" s="3">
        <f t="shared" si="51"/>
        <v>2.5068771249703303E-4</v>
      </c>
      <c r="J404" s="18">
        <v>1</v>
      </c>
      <c r="K404" s="13">
        <v>-0.53</v>
      </c>
      <c r="L404" s="13">
        <v>-0.17</v>
      </c>
      <c r="M404" s="20">
        <v>8.9999999999999993E-3</v>
      </c>
      <c r="N404" s="20">
        <f t="shared" si="52"/>
        <v>-1.0492233602387593E-2</v>
      </c>
      <c r="O404" s="20">
        <f t="shared" si="53"/>
        <v>-1.2997178462261996E-2</v>
      </c>
      <c r="P404" s="20">
        <f t="shared" si="54"/>
        <v>-1.1245638279495642E-2</v>
      </c>
      <c r="Q404" s="20">
        <f t="shared" si="55"/>
        <v>-8.7493122875029663E-3</v>
      </c>
    </row>
    <row r="405" spans="1:17" x14ac:dyDescent="0.2">
      <c r="A405" s="1">
        <v>45149</v>
      </c>
      <c r="B405">
        <v>148.06</v>
      </c>
      <c r="C405">
        <v>58</v>
      </c>
      <c r="D405">
        <v>40.83</v>
      </c>
      <c r="E405" s="2">
        <v>4464.05</v>
      </c>
      <c r="F405" s="3">
        <f t="shared" si="48"/>
        <v>5.7740642619386051E-3</v>
      </c>
      <c r="G405" s="3">
        <f t="shared" si="49"/>
        <v>4.1551246537396835E-3</v>
      </c>
      <c r="H405" s="3">
        <f t="shared" si="50"/>
        <v>-3.6118980169971726E-2</v>
      </c>
      <c r="I405" s="3">
        <f t="shared" si="51"/>
        <v>-1.0696312010077813E-3</v>
      </c>
      <c r="J405" s="15">
        <v>1.1200000000000001</v>
      </c>
      <c r="K405" s="13">
        <v>-0.36</v>
      </c>
      <c r="L405" s="12">
        <v>0.25</v>
      </c>
      <c r="M405" s="20">
        <v>8.9999999999999993E-3</v>
      </c>
      <c r="N405" s="20">
        <f t="shared" si="52"/>
        <v>-3.2259357380613942E-3</v>
      </c>
      <c r="O405" s="20">
        <f t="shared" si="53"/>
        <v>-4.5118980169971727E-2</v>
      </c>
      <c r="P405" s="20">
        <f t="shared" si="54"/>
        <v>-4.8448753462603158E-3</v>
      </c>
      <c r="Q405" s="20">
        <f t="shared" si="55"/>
        <v>-1.0069631201007781E-2</v>
      </c>
    </row>
    <row r="406" spans="1:17" x14ac:dyDescent="0.2">
      <c r="A406" s="1">
        <v>45152</v>
      </c>
      <c r="B406">
        <v>148.37</v>
      </c>
      <c r="C406">
        <v>57.72</v>
      </c>
      <c r="D406">
        <v>43.73</v>
      </c>
      <c r="E406" s="2">
        <v>4489.72</v>
      </c>
      <c r="F406" s="3">
        <f t="shared" si="48"/>
        <v>2.0937457787384428E-3</v>
      </c>
      <c r="G406" s="3">
        <f t="shared" si="49"/>
        <v>-4.8275862068966058E-3</v>
      </c>
      <c r="H406" s="3">
        <f t="shared" si="50"/>
        <v>7.1026206220915933E-2</v>
      </c>
      <c r="I406" s="3">
        <f t="shared" si="51"/>
        <v>5.7503836202552616E-3</v>
      </c>
      <c r="J406" s="13">
        <v>-0.03</v>
      </c>
      <c r="K406" s="12">
        <v>0.21</v>
      </c>
      <c r="L406" s="12">
        <v>0.12</v>
      </c>
      <c r="M406" s="20">
        <v>8.9999999999999993E-3</v>
      </c>
      <c r="N406" s="20">
        <f t="shared" si="52"/>
        <v>-6.9062542212615565E-3</v>
      </c>
      <c r="O406" s="20">
        <f t="shared" si="53"/>
        <v>6.2026206220915932E-2</v>
      </c>
      <c r="P406" s="20">
        <f t="shared" si="54"/>
        <v>-1.3827586206896605E-2</v>
      </c>
      <c r="Q406" s="20">
        <f t="shared" si="55"/>
        <v>-3.2496163797447377E-3</v>
      </c>
    </row>
    <row r="407" spans="1:17" x14ac:dyDescent="0.2">
      <c r="A407" s="1">
        <v>45153</v>
      </c>
      <c r="B407">
        <v>144.59</v>
      </c>
      <c r="C407">
        <v>57.33</v>
      </c>
      <c r="D407">
        <v>43.92</v>
      </c>
      <c r="E407" s="2">
        <v>4437.8599999999997</v>
      </c>
      <c r="F407" s="3">
        <f t="shared" si="48"/>
        <v>-2.5476848419491827E-2</v>
      </c>
      <c r="G407" s="3">
        <f t="shared" si="49"/>
        <v>-6.7567567567567988E-3</v>
      </c>
      <c r="H407" s="3">
        <f t="shared" si="50"/>
        <v>4.3448433569632794E-3</v>
      </c>
      <c r="I407" s="3">
        <f t="shared" si="51"/>
        <v>-1.1550831677699436E-2</v>
      </c>
      <c r="J407" s="12">
        <v>0.55000000000000004</v>
      </c>
      <c r="K407" s="12">
        <v>0.02</v>
      </c>
      <c r="L407" s="13">
        <v>-0.01</v>
      </c>
      <c r="M407" s="20">
        <v>8.9999999999999993E-3</v>
      </c>
      <c r="N407" s="20">
        <f t="shared" si="52"/>
        <v>-3.4476848419491828E-2</v>
      </c>
      <c r="O407" s="20">
        <f t="shared" si="53"/>
        <v>-4.6551566430367199E-3</v>
      </c>
      <c r="P407" s="20">
        <f t="shared" si="54"/>
        <v>-1.57567567567568E-2</v>
      </c>
      <c r="Q407" s="20">
        <f t="shared" si="55"/>
        <v>-2.0550831677699437E-2</v>
      </c>
    </row>
    <row r="408" spans="1:17" x14ac:dyDescent="0.2">
      <c r="A408" s="1">
        <v>45154</v>
      </c>
      <c r="B408">
        <v>143.97999999999999</v>
      </c>
      <c r="C408">
        <v>57.34</v>
      </c>
      <c r="D408">
        <v>43.46</v>
      </c>
      <c r="E408" s="2">
        <v>4404.33</v>
      </c>
      <c r="F408" s="3">
        <f t="shared" si="48"/>
        <v>-4.2188256449271488E-3</v>
      </c>
      <c r="G408" s="3">
        <f t="shared" si="49"/>
        <v>1.7442874585738011E-4</v>
      </c>
      <c r="H408" s="3">
        <f t="shared" si="50"/>
        <v>-1.0473588342440832E-2</v>
      </c>
      <c r="I408" s="3">
        <f t="shared" si="51"/>
        <v>-7.5554433893813E-3</v>
      </c>
      <c r="J408" s="12">
        <v>0.69</v>
      </c>
      <c r="K408" s="12">
        <v>0.34</v>
      </c>
      <c r="L408" s="13">
        <v>-0.28000000000000003</v>
      </c>
      <c r="M408" s="20">
        <v>8.9999999999999993E-3</v>
      </c>
      <c r="N408" s="20">
        <f t="shared" si="52"/>
        <v>-1.3218825644927148E-2</v>
      </c>
      <c r="O408" s="20">
        <f t="shared" si="53"/>
        <v>-1.9473588342440833E-2</v>
      </c>
      <c r="P408" s="20">
        <f t="shared" si="54"/>
        <v>-8.8255712541426192E-3</v>
      </c>
      <c r="Q408" s="20">
        <f t="shared" si="55"/>
        <v>-1.6555443389381301E-2</v>
      </c>
    </row>
    <row r="409" spans="1:17" x14ac:dyDescent="0.2">
      <c r="A409" s="1">
        <v>45155</v>
      </c>
      <c r="B409">
        <v>142.47999999999999</v>
      </c>
      <c r="C409">
        <v>57.47</v>
      </c>
      <c r="D409">
        <v>43.32</v>
      </c>
      <c r="E409" s="2">
        <v>4370.3599999999997</v>
      </c>
      <c r="F409" s="3">
        <f t="shared" si="48"/>
        <v>-1.04181136268926E-2</v>
      </c>
      <c r="G409" s="3">
        <f t="shared" si="49"/>
        <v>2.2671782350889291E-3</v>
      </c>
      <c r="H409" s="3">
        <f t="shared" si="50"/>
        <v>-3.2213529682466602E-3</v>
      </c>
      <c r="I409" s="3">
        <f t="shared" si="51"/>
        <v>-7.7128643857296009E-3</v>
      </c>
      <c r="J409" s="13">
        <v>-0.78</v>
      </c>
      <c r="K409" s="12">
        <v>0.37</v>
      </c>
      <c r="L409" s="13">
        <v>-0.43</v>
      </c>
      <c r="M409" s="20">
        <v>8.9999999999999993E-3</v>
      </c>
      <c r="N409" s="20">
        <f t="shared" si="52"/>
        <v>-1.9418113626892601E-2</v>
      </c>
      <c r="O409" s="20">
        <f t="shared" si="53"/>
        <v>-1.2221352968246659E-2</v>
      </c>
      <c r="P409" s="20">
        <f t="shared" si="54"/>
        <v>-6.7328217649110702E-3</v>
      </c>
      <c r="Q409" s="20">
        <f t="shared" si="55"/>
        <v>-1.6712864385729602E-2</v>
      </c>
    </row>
    <row r="410" spans="1:17" x14ac:dyDescent="0.2">
      <c r="A410" s="1">
        <v>45156</v>
      </c>
      <c r="B410">
        <v>142.81</v>
      </c>
      <c r="C410">
        <v>57.79</v>
      </c>
      <c r="D410">
        <v>43.28</v>
      </c>
      <c r="E410" s="2">
        <v>4369.71</v>
      </c>
      <c r="F410" s="3">
        <f t="shared" si="48"/>
        <v>2.3161145423920004E-3</v>
      </c>
      <c r="G410" s="3">
        <f t="shared" si="49"/>
        <v>5.5681224986949829E-3</v>
      </c>
      <c r="H410" s="3">
        <f t="shared" si="50"/>
        <v>-9.2336103416434945E-4</v>
      </c>
      <c r="I410" s="3">
        <f t="shared" si="51"/>
        <v>-1.4872916647590273E-4</v>
      </c>
      <c r="J410" s="12">
        <v>0.24</v>
      </c>
      <c r="K410" s="12">
        <v>0.02</v>
      </c>
      <c r="L410" s="13">
        <v>-0.41</v>
      </c>
      <c r="M410" s="20">
        <v>8.9999999999999993E-3</v>
      </c>
      <c r="N410" s="20">
        <f t="shared" si="52"/>
        <v>-6.6838854576079989E-3</v>
      </c>
      <c r="O410" s="20">
        <f t="shared" si="53"/>
        <v>-9.9233610341643488E-3</v>
      </c>
      <c r="P410" s="20">
        <f t="shared" si="54"/>
        <v>-3.4318775013050164E-3</v>
      </c>
      <c r="Q410" s="20">
        <f t="shared" si="55"/>
        <v>-9.148729166475902E-3</v>
      </c>
    </row>
    <row r="411" spans="1:17" x14ac:dyDescent="0.2">
      <c r="A411" s="1">
        <v>45159</v>
      </c>
      <c r="B411">
        <v>143.30000000000001</v>
      </c>
      <c r="C411">
        <v>57.3</v>
      </c>
      <c r="D411">
        <v>46.94</v>
      </c>
      <c r="E411" s="2">
        <v>4399.7700000000004</v>
      </c>
      <c r="F411" s="3">
        <f t="shared" si="48"/>
        <v>3.431132273650439E-3</v>
      </c>
      <c r="G411" s="3">
        <f t="shared" si="49"/>
        <v>-8.478975601315164E-3</v>
      </c>
      <c r="H411" s="3">
        <f t="shared" si="50"/>
        <v>8.4565619223659905E-2</v>
      </c>
      <c r="I411" s="3">
        <f t="shared" si="51"/>
        <v>6.8791750482297687E-3</v>
      </c>
      <c r="J411" s="12">
        <v>0.87</v>
      </c>
      <c r="K411" s="13">
        <v>-0.36</v>
      </c>
      <c r="L411" s="13">
        <v>-0.28999999999999998</v>
      </c>
      <c r="M411" s="20">
        <v>8.9999999999999993E-3</v>
      </c>
      <c r="N411" s="20">
        <f t="shared" si="52"/>
        <v>-5.5688677263495603E-3</v>
      </c>
      <c r="O411" s="20">
        <f t="shared" si="53"/>
        <v>7.5565619223659911E-2</v>
      </c>
      <c r="P411" s="20">
        <f t="shared" si="54"/>
        <v>-1.7478975601315165E-2</v>
      </c>
      <c r="Q411" s="20">
        <f t="shared" si="55"/>
        <v>-2.1208249517702307E-3</v>
      </c>
    </row>
    <row r="412" spans="1:17" x14ac:dyDescent="0.2">
      <c r="A412" s="1">
        <v>45160</v>
      </c>
      <c r="B412">
        <v>140.33000000000001</v>
      </c>
      <c r="C412">
        <v>56.94</v>
      </c>
      <c r="D412">
        <v>45.64</v>
      </c>
      <c r="E412" s="2">
        <v>4387.55</v>
      </c>
      <c r="F412" s="3">
        <f t="shared" si="48"/>
        <v>-2.0725750174459212E-2</v>
      </c>
      <c r="G412" s="3">
        <f t="shared" si="49"/>
        <v>-6.2827225130890341E-3</v>
      </c>
      <c r="H412" s="3">
        <f t="shared" si="50"/>
        <v>-2.7694929697486104E-2</v>
      </c>
      <c r="I412" s="3">
        <f t="shared" si="51"/>
        <v>-2.7774179104816943E-3</v>
      </c>
      <c r="J412" s="12">
        <v>0.34</v>
      </c>
      <c r="K412" s="12">
        <v>0.17</v>
      </c>
      <c r="L412" s="13">
        <v>-0.18</v>
      </c>
      <c r="M412" s="20">
        <v>8.9999999999999993E-3</v>
      </c>
      <c r="N412" s="20">
        <f t="shared" si="52"/>
        <v>-2.9725750174459213E-2</v>
      </c>
      <c r="O412" s="20">
        <f t="shared" si="53"/>
        <v>-3.6694929697486105E-2</v>
      </c>
      <c r="P412" s="20">
        <f t="shared" si="54"/>
        <v>-1.5282722513089033E-2</v>
      </c>
      <c r="Q412" s="20">
        <f t="shared" si="55"/>
        <v>-1.1777417910481694E-2</v>
      </c>
    </row>
    <row r="413" spans="1:17" x14ac:dyDescent="0.2">
      <c r="A413" s="1">
        <v>45161</v>
      </c>
      <c r="B413">
        <v>141.27000000000001</v>
      </c>
      <c r="C413">
        <v>57.14</v>
      </c>
      <c r="D413">
        <v>47.09</v>
      </c>
      <c r="E413" s="2">
        <v>4436.01</v>
      </c>
      <c r="F413" s="3">
        <f t="shared" si="48"/>
        <v>6.6984964013396819E-3</v>
      </c>
      <c r="G413" s="3">
        <f t="shared" si="49"/>
        <v>3.5124692658938805E-3</v>
      </c>
      <c r="H413" s="3">
        <f t="shared" si="50"/>
        <v>3.1770376862401362E-2</v>
      </c>
      <c r="I413" s="3">
        <f t="shared" si="51"/>
        <v>1.1044888377340412E-2</v>
      </c>
      <c r="J413" s="12">
        <v>0.51</v>
      </c>
      <c r="K413" s="12">
        <v>0.32</v>
      </c>
      <c r="L413" s="12">
        <v>0.11</v>
      </c>
      <c r="M413" s="20">
        <v>8.9999999999999993E-3</v>
      </c>
      <c r="N413" s="20">
        <f t="shared" si="52"/>
        <v>-2.3015035986603174E-3</v>
      </c>
      <c r="O413" s="20">
        <f t="shared" si="53"/>
        <v>2.2770376862401361E-2</v>
      </c>
      <c r="P413" s="20">
        <f t="shared" si="54"/>
        <v>-5.4875307341061188E-3</v>
      </c>
      <c r="Q413" s="20">
        <f t="shared" si="55"/>
        <v>2.0448883773404123E-3</v>
      </c>
    </row>
    <row r="414" spans="1:17" x14ac:dyDescent="0.2">
      <c r="A414" s="1">
        <v>45162</v>
      </c>
      <c r="B414">
        <v>141.13999999999999</v>
      </c>
      <c r="C414">
        <v>56.99</v>
      </c>
      <c r="D414">
        <v>47.14</v>
      </c>
      <c r="E414" s="2">
        <v>4376.3100000000004</v>
      </c>
      <c r="F414" s="3">
        <f t="shared" si="48"/>
        <v>-9.2022368514210751E-4</v>
      </c>
      <c r="G414" s="3">
        <f t="shared" si="49"/>
        <v>-2.6251312565628293E-3</v>
      </c>
      <c r="H414" s="3">
        <f t="shared" si="50"/>
        <v>1.0617965597790047E-3</v>
      </c>
      <c r="I414" s="3">
        <f t="shared" si="51"/>
        <v>-1.3458039995401183E-2</v>
      </c>
      <c r="J414" s="12">
        <v>0.11</v>
      </c>
      <c r="K414" s="13">
        <v>-0.14000000000000001</v>
      </c>
      <c r="L414" s="12">
        <v>0.68</v>
      </c>
      <c r="M414" s="20">
        <v>8.9999999999999993E-3</v>
      </c>
      <c r="N414" s="20">
        <f t="shared" si="52"/>
        <v>-9.9202236851421068E-3</v>
      </c>
      <c r="O414" s="20">
        <f t="shared" si="53"/>
        <v>-7.9382034402209947E-3</v>
      </c>
      <c r="P414" s="20">
        <f t="shared" si="54"/>
        <v>-1.1625131256562829E-2</v>
      </c>
      <c r="Q414" s="20">
        <f t="shared" si="55"/>
        <v>-2.2458039995401184E-2</v>
      </c>
    </row>
    <row r="415" spans="1:17" x14ac:dyDescent="0.2">
      <c r="A415" s="1">
        <v>45163</v>
      </c>
      <c r="B415">
        <v>140.97</v>
      </c>
      <c r="C415">
        <v>57.26</v>
      </c>
      <c r="D415">
        <v>45.99</v>
      </c>
      <c r="E415" s="2">
        <v>4405.71</v>
      </c>
      <c r="F415" s="3">
        <f t="shared" si="48"/>
        <v>-1.2044778234375775E-3</v>
      </c>
      <c r="G415" s="3">
        <f t="shared" si="49"/>
        <v>4.7376732760133766E-3</v>
      </c>
      <c r="H415" s="3">
        <f t="shared" si="50"/>
        <v>-2.4395417904115368E-2</v>
      </c>
      <c r="I415" s="3">
        <f t="shared" si="51"/>
        <v>6.7179884423178571E-3</v>
      </c>
      <c r="J415" s="13">
        <v>-0.04</v>
      </c>
      <c r="K415" s="12">
        <v>0.41</v>
      </c>
      <c r="L415" s="12">
        <v>0.11</v>
      </c>
      <c r="M415" s="20">
        <v>8.9999999999999993E-3</v>
      </c>
      <c r="N415" s="20">
        <f t="shared" si="52"/>
        <v>-1.0204477823437577E-2</v>
      </c>
      <c r="O415" s="20">
        <f t="shared" si="53"/>
        <v>-3.339541790411537E-2</v>
      </c>
      <c r="P415" s="20">
        <f t="shared" si="54"/>
        <v>-4.2623267239866227E-3</v>
      </c>
      <c r="Q415" s="20">
        <f t="shared" si="55"/>
        <v>-2.2820115576821422E-3</v>
      </c>
    </row>
    <row r="416" spans="1:17" x14ac:dyDescent="0.2">
      <c r="A416" s="1">
        <v>45166</v>
      </c>
      <c r="B416">
        <v>141.46</v>
      </c>
      <c r="C416">
        <v>57.42</v>
      </c>
      <c r="D416">
        <v>46.81</v>
      </c>
      <c r="E416" s="2">
        <v>4433.3100000000004</v>
      </c>
      <c r="F416" s="3">
        <f t="shared" si="48"/>
        <v>3.4759168617437552E-3</v>
      </c>
      <c r="G416" s="3">
        <f t="shared" si="49"/>
        <v>2.7942717429270125E-3</v>
      </c>
      <c r="H416" s="3">
        <f t="shared" si="50"/>
        <v>1.7829963035442598E-2</v>
      </c>
      <c r="I416" s="3">
        <f t="shared" si="51"/>
        <v>6.2645975336552695E-3</v>
      </c>
      <c r="J416" s="12">
        <v>0.16</v>
      </c>
      <c r="K416" s="12">
        <v>0.31</v>
      </c>
      <c r="L416" s="13">
        <v>-0.06</v>
      </c>
      <c r="M416" s="20">
        <v>8.9999999999999993E-3</v>
      </c>
      <c r="N416" s="20">
        <f t="shared" si="52"/>
        <v>-5.5240831382562441E-3</v>
      </c>
      <c r="O416" s="20">
        <f t="shared" si="53"/>
        <v>8.8299630354425982E-3</v>
      </c>
      <c r="P416" s="20">
        <f t="shared" si="54"/>
        <v>-6.2057282570729868E-3</v>
      </c>
      <c r="Q416" s="20">
        <f t="shared" si="55"/>
        <v>-2.7354024663447298E-3</v>
      </c>
    </row>
    <row r="417" spans="1:17" x14ac:dyDescent="0.2">
      <c r="A417" s="1">
        <v>45167</v>
      </c>
      <c r="B417">
        <v>142.61000000000001</v>
      </c>
      <c r="C417">
        <v>57.36</v>
      </c>
      <c r="D417">
        <v>48.76</v>
      </c>
      <c r="E417" s="2">
        <v>4497.63</v>
      </c>
      <c r="F417" s="3">
        <f t="shared" si="48"/>
        <v>8.1295065742965633E-3</v>
      </c>
      <c r="G417" s="3">
        <f t="shared" si="49"/>
        <v>-1.0449320794149175E-3</v>
      </c>
      <c r="H417" s="3">
        <f t="shared" si="50"/>
        <v>4.1657765434736094E-2</v>
      </c>
      <c r="I417" s="3">
        <f t="shared" si="51"/>
        <v>1.4508347036412905E-2</v>
      </c>
      <c r="J417" s="12">
        <v>0.61</v>
      </c>
      <c r="K417" s="12">
        <v>0.12</v>
      </c>
      <c r="L417" s="13">
        <v>-0.06</v>
      </c>
      <c r="M417" s="20">
        <v>8.9999999999999993E-3</v>
      </c>
      <c r="N417" s="20">
        <f t="shared" si="52"/>
        <v>-8.7049342570343601E-4</v>
      </c>
      <c r="O417" s="20">
        <f t="shared" si="53"/>
        <v>3.2657765434736093E-2</v>
      </c>
      <c r="P417" s="20">
        <f t="shared" si="54"/>
        <v>-1.0044932079414917E-2</v>
      </c>
      <c r="Q417" s="20">
        <f t="shared" si="55"/>
        <v>5.5083470364129059E-3</v>
      </c>
    </row>
    <row r="418" spans="1:17" x14ac:dyDescent="0.2">
      <c r="A418" s="1">
        <v>45168</v>
      </c>
      <c r="B418">
        <v>142.03</v>
      </c>
      <c r="C418">
        <v>57.33</v>
      </c>
      <c r="D418">
        <v>49.24</v>
      </c>
      <c r="E418" s="2">
        <v>4514.87</v>
      </c>
      <c r="F418" s="3">
        <f t="shared" si="48"/>
        <v>-4.0670359722320137E-3</v>
      </c>
      <c r="G418" s="3">
        <f t="shared" si="49"/>
        <v>-5.2301255230124966E-4</v>
      </c>
      <c r="H418" s="3">
        <f t="shared" si="50"/>
        <v>9.8441345365054556E-3</v>
      </c>
      <c r="I418" s="3">
        <f t="shared" si="51"/>
        <v>3.8331298928546698E-3</v>
      </c>
      <c r="J418" s="12">
        <v>0.27</v>
      </c>
      <c r="K418" s="12">
        <v>0.41</v>
      </c>
      <c r="L418" s="13">
        <v>-0.02</v>
      </c>
      <c r="M418" s="20">
        <v>8.9999999999999993E-3</v>
      </c>
      <c r="N418" s="20">
        <f t="shared" si="52"/>
        <v>-1.3067035972232013E-2</v>
      </c>
      <c r="O418" s="20">
        <f t="shared" si="53"/>
        <v>8.4413453650545624E-4</v>
      </c>
      <c r="P418" s="20">
        <f t="shared" si="54"/>
        <v>-9.523012552301249E-3</v>
      </c>
      <c r="Q418" s="20">
        <f t="shared" si="55"/>
        <v>-5.1668701071453296E-3</v>
      </c>
    </row>
    <row r="419" spans="1:17" x14ac:dyDescent="0.2">
      <c r="A419" s="1">
        <v>45169</v>
      </c>
      <c r="B419">
        <v>140.28</v>
      </c>
      <c r="C419">
        <v>56.73</v>
      </c>
      <c r="D419">
        <v>49.33</v>
      </c>
      <c r="E419" s="2">
        <v>4507.66</v>
      </c>
      <c r="F419" s="3">
        <f t="shared" si="48"/>
        <v>-1.2321340561853078E-2</v>
      </c>
      <c r="G419" s="3">
        <f t="shared" si="49"/>
        <v>-1.0465724751439032E-2</v>
      </c>
      <c r="H419" s="3">
        <f t="shared" si="50"/>
        <v>1.8277822908203678E-3</v>
      </c>
      <c r="I419" s="3">
        <f t="shared" si="51"/>
        <v>-1.5969452055097921E-3</v>
      </c>
      <c r="J419" s="13">
        <v>-0.52</v>
      </c>
      <c r="K419" s="12">
        <v>0.12</v>
      </c>
      <c r="L419" s="12">
        <v>0.42</v>
      </c>
      <c r="M419" s="20">
        <v>8.9999999999999993E-3</v>
      </c>
      <c r="N419" s="20">
        <f t="shared" si="52"/>
        <v>-2.1321340561853079E-2</v>
      </c>
      <c r="O419" s="20">
        <f t="shared" si="53"/>
        <v>-7.1722177091796315E-3</v>
      </c>
      <c r="P419" s="20">
        <f t="shared" si="54"/>
        <v>-1.9465724751439033E-2</v>
      </c>
      <c r="Q419" s="20">
        <f t="shared" si="55"/>
        <v>-1.0596945205509791E-2</v>
      </c>
    </row>
    <row r="420" spans="1:17" x14ac:dyDescent="0.2">
      <c r="A420" s="1">
        <v>45170</v>
      </c>
      <c r="B420">
        <v>140.75</v>
      </c>
      <c r="C420">
        <v>56.23</v>
      </c>
      <c r="D420">
        <v>48.48</v>
      </c>
      <c r="E420" s="2">
        <v>4515.7700000000004</v>
      </c>
      <c r="F420" s="3">
        <f t="shared" si="48"/>
        <v>3.3504419731964497E-3</v>
      </c>
      <c r="G420" s="3">
        <f t="shared" si="49"/>
        <v>-8.8136788295434254E-3</v>
      </c>
      <c r="H420" s="3">
        <f t="shared" si="50"/>
        <v>-1.7230893979322981E-2</v>
      </c>
      <c r="I420" s="3">
        <f t="shared" si="51"/>
        <v>1.7991596526802933E-3</v>
      </c>
      <c r="J420" s="12">
        <v>0.37</v>
      </c>
      <c r="K420" s="13">
        <v>-0.11</v>
      </c>
      <c r="L420" s="13">
        <v>-0.14000000000000001</v>
      </c>
      <c r="M420" s="20">
        <v>8.9999999999999993E-3</v>
      </c>
      <c r="N420" s="20">
        <f t="shared" si="52"/>
        <v>-5.6495580268035497E-3</v>
      </c>
      <c r="O420" s="20">
        <f t="shared" si="53"/>
        <v>-2.6230893979322982E-2</v>
      </c>
      <c r="P420" s="20">
        <f t="shared" si="54"/>
        <v>-1.7813678829543426E-2</v>
      </c>
      <c r="Q420" s="20">
        <f t="shared" si="55"/>
        <v>-7.200840347319706E-3</v>
      </c>
    </row>
    <row r="421" spans="1:17" x14ac:dyDescent="0.2">
      <c r="A421" s="1">
        <v>45174</v>
      </c>
      <c r="B421">
        <v>139.19</v>
      </c>
      <c r="C421">
        <v>55.77</v>
      </c>
      <c r="D421">
        <v>48.52</v>
      </c>
      <c r="E421" s="2">
        <v>4496.83</v>
      </c>
      <c r="F421" s="3">
        <f t="shared" si="48"/>
        <v>-1.1083481349911217E-2</v>
      </c>
      <c r="G421" s="3">
        <f t="shared" si="49"/>
        <v>-8.180686466298992E-3</v>
      </c>
      <c r="H421" s="3">
        <f t="shared" si="50"/>
        <v>8.2508250825097385E-4</v>
      </c>
      <c r="I421" s="3">
        <f t="shared" si="51"/>
        <v>-4.1941905810084501E-3</v>
      </c>
      <c r="J421" s="12">
        <v>0.28000000000000003</v>
      </c>
      <c r="K421" s="12">
        <v>0.18</v>
      </c>
      <c r="L421" s="12">
        <v>0.09</v>
      </c>
      <c r="M421" s="20">
        <v>8.9999999999999993E-3</v>
      </c>
      <c r="N421" s="20">
        <f t="shared" si="52"/>
        <v>-2.0083481349911218E-2</v>
      </c>
      <c r="O421" s="20">
        <f t="shared" si="53"/>
        <v>-8.1749174917490255E-3</v>
      </c>
      <c r="P421" s="20">
        <f t="shared" si="54"/>
        <v>-1.7180686466298993E-2</v>
      </c>
      <c r="Q421" s="20">
        <f t="shared" si="55"/>
        <v>-1.3194190581008449E-2</v>
      </c>
    </row>
    <row r="422" spans="1:17" x14ac:dyDescent="0.2">
      <c r="A422" s="1">
        <v>45175</v>
      </c>
      <c r="B422">
        <v>138.96</v>
      </c>
      <c r="C422">
        <v>55.73</v>
      </c>
      <c r="D422">
        <v>47.04</v>
      </c>
      <c r="E422" s="2">
        <v>4465.4799999999996</v>
      </c>
      <c r="F422" s="3">
        <f t="shared" si="48"/>
        <v>-1.6524175587325773E-3</v>
      </c>
      <c r="G422" s="3">
        <f t="shared" si="49"/>
        <v>-7.1723148646241075E-4</v>
      </c>
      <c r="H422" s="3">
        <f t="shared" si="50"/>
        <v>-3.0502885408079217E-2</v>
      </c>
      <c r="I422" s="3">
        <f t="shared" si="51"/>
        <v>-6.9715777558858605E-3</v>
      </c>
      <c r="J422" s="12">
        <v>0.24</v>
      </c>
      <c r="K422" s="12">
        <v>0.15</v>
      </c>
      <c r="L422" s="12">
        <v>0.43</v>
      </c>
      <c r="M422" s="20">
        <v>8.9999999999999993E-3</v>
      </c>
      <c r="N422" s="20">
        <f t="shared" si="52"/>
        <v>-1.0652417558732577E-2</v>
      </c>
      <c r="O422" s="20">
        <f t="shared" si="53"/>
        <v>-3.9502885408079218E-2</v>
      </c>
      <c r="P422" s="20">
        <f t="shared" si="54"/>
        <v>-9.7172314864624101E-3</v>
      </c>
      <c r="Q422" s="20">
        <f t="shared" si="55"/>
        <v>-1.5971577755885862E-2</v>
      </c>
    </row>
    <row r="423" spans="1:17" x14ac:dyDescent="0.2">
      <c r="A423" s="1">
        <v>45176</v>
      </c>
      <c r="B423">
        <v>137.78</v>
      </c>
      <c r="C423">
        <v>55.3</v>
      </c>
      <c r="D423">
        <v>46.22</v>
      </c>
      <c r="E423" s="2">
        <v>4451.1400000000003</v>
      </c>
      <c r="F423" s="3">
        <f t="shared" si="48"/>
        <v>-8.4916522740356992E-3</v>
      </c>
      <c r="G423" s="3">
        <f t="shared" si="49"/>
        <v>-7.715772474430338E-3</v>
      </c>
      <c r="H423" s="3">
        <f t="shared" si="50"/>
        <v>-1.7431972789115679E-2</v>
      </c>
      <c r="I423" s="3">
        <f t="shared" si="51"/>
        <v>-3.2113009127796577E-3</v>
      </c>
      <c r="J423" s="13">
        <v>-0.01</v>
      </c>
      <c r="K423" s="12">
        <v>0.52</v>
      </c>
      <c r="L423" s="11">
        <v>0</v>
      </c>
      <c r="M423" s="20">
        <v>8.9999999999999993E-3</v>
      </c>
      <c r="N423" s="20">
        <f t="shared" si="52"/>
        <v>-1.74916522740357E-2</v>
      </c>
      <c r="O423" s="20">
        <f t="shared" si="53"/>
        <v>-2.6431972789115681E-2</v>
      </c>
      <c r="P423" s="20">
        <f t="shared" si="54"/>
        <v>-1.6715772474430339E-2</v>
      </c>
      <c r="Q423" s="20">
        <f t="shared" si="55"/>
        <v>-1.2211300912779657E-2</v>
      </c>
    </row>
    <row r="424" spans="1:17" x14ac:dyDescent="0.2">
      <c r="A424" s="1">
        <v>45177</v>
      </c>
      <c r="B424">
        <v>137.88</v>
      </c>
      <c r="C424">
        <v>55.3</v>
      </c>
      <c r="D424">
        <v>45.55</v>
      </c>
      <c r="E424" s="2">
        <v>4457.49</v>
      </c>
      <c r="F424" s="3">
        <f t="shared" si="48"/>
        <v>7.2579474524592236E-4</v>
      </c>
      <c r="G424" s="3">
        <f t="shared" si="49"/>
        <v>0</v>
      </c>
      <c r="H424" s="3">
        <f t="shared" si="50"/>
        <v>-1.4495889225443537E-2</v>
      </c>
      <c r="I424" s="3">
        <f t="shared" si="51"/>
        <v>1.4266008258556617E-3</v>
      </c>
      <c r="J424" s="13">
        <v>-0.76</v>
      </c>
      <c r="K424" s="12">
        <v>0.16</v>
      </c>
      <c r="L424" s="12">
        <v>0.04</v>
      </c>
      <c r="M424" s="20">
        <v>8.9999999999999993E-3</v>
      </c>
      <c r="N424" s="20">
        <f t="shared" si="52"/>
        <v>-8.274205254754077E-3</v>
      </c>
      <c r="O424" s="20">
        <f t="shared" si="53"/>
        <v>-2.3495889225443538E-2</v>
      </c>
      <c r="P424" s="20">
        <f t="shared" si="54"/>
        <v>-8.9999999999999993E-3</v>
      </c>
      <c r="Q424" s="20">
        <f t="shared" si="55"/>
        <v>-7.5733991741443376E-3</v>
      </c>
    </row>
    <row r="425" spans="1:17" x14ac:dyDescent="0.2">
      <c r="A425" s="1">
        <v>45180</v>
      </c>
      <c r="B425">
        <v>138.47999999999999</v>
      </c>
      <c r="C425">
        <v>55.83</v>
      </c>
      <c r="D425">
        <v>45.16</v>
      </c>
      <c r="E425" s="2">
        <v>4487.46</v>
      </c>
      <c r="F425" s="3">
        <f t="shared" si="48"/>
        <v>4.3516100957354809E-3</v>
      </c>
      <c r="G425" s="3">
        <f t="shared" si="49"/>
        <v>9.584086799276692E-3</v>
      </c>
      <c r="H425" s="3">
        <f t="shared" si="50"/>
        <v>-8.5620197585071223E-3</v>
      </c>
      <c r="I425" s="3">
        <f t="shared" si="51"/>
        <v>6.7235148031741243E-3</v>
      </c>
      <c r="J425" s="12">
        <v>0.65</v>
      </c>
      <c r="K425" s="12">
        <v>0.34</v>
      </c>
      <c r="L425" s="13">
        <v>-0.21</v>
      </c>
      <c r="M425" s="20">
        <v>8.9999999999999993E-3</v>
      </c>
      <c r="N425" s="20">
        <f t="shared" si="52"/>
        <v>-4.6483899042645185E-3</v>
      </c>
      <c r="O425" s="20">
        <f t="shared" si="53"/>
        <v>-1.7562019758507123E-2</v>
      </c>
      <c r="P425" s="20">
        <f t="shared" si="54"/>
        <v>5.8408679927669273E-4</v>
      </c>
      <c r="Q425" s="20">
        <f t="shared" si="55"/>
        <v>-2.276485196825875E-3</v>
      </c>
    </row>
    <row r="426" spans="1:17" x14ac:dyDescent="0.2">
      <c r="A426" s="1">
        <v>45181</v>
      </c>
      <c r="B426">
        <v>140.29</v>
      </c>
      <c r="C426">
        <v>55.28</v>
      </c>
      <c r="D426">
        <v>44.85</v>
      </c>
      <c r="E426" s="2">
        <v>4461.8999999999996</v>
      </c>
      <c r="F426" s="3">
        <f t="shared" si="48"/>
        <v>1.3070479491623432E-2</v>
      </c>
      <c r="G426" s="3">
        <f t="shared" si="49"/>
        <v>-9.8513344080243259E-3</v>
      </c>
      <c r="H426" s="3">
        <f t="shared" si="50"/>
        <v>-6.8644818423382326E-3</v>
      </c>
      <c r="I426" s="3">
        <f t="shared" si="51"/>
        <v>-5.6958724980279429E-3</v>
      </c>
      <c r="J426" s="12">
        <v>0.48</v>
      </c>
      <c r="K426" s="13">
        <v>-0.14000000000000001</v>
      </c>
      <c r="L426" s="13">
        <v>-0.25</v>
      </c>
      <c r="M426" s="20">
        <v>8.9999999999999993E-3</v>
      </c>
      <c r="N426" s="20">
        <f t="shared" si="52"/>
        <v>4.070479491623433E-3</v>
      </c>
      <c r="O426" s="20">
        <f t="shared" si="53"/>
        <v>-1.5864481842338234E-2</v>
      </c>
      <c r="P426" s="20">
        <f t="shared" si="54"/>
        <v>-1.8851334408024327E-2</v>
      </c>
      <c r="Q426" s="20">
        <f t="shared" si="55"/>
        <v>-1.4695872498027942E-2</v>
      </c>
    </row>
    <row r="427" spans="1:17" x14ac:dyDescent="0.2">
      <c r="A427" s="1">
        <v>45182</v>
      </c>
      <c r="B427">
        <v>140.35</v>
      </c>
      <c r="C427">
        <v>55.41</v>
      </c>
      <c r="D427">
        <v>45.46</v>
      </c>
      <c r="E427" s="2">
        <v>4467.4399999999996</v>
      </c>
      <c r="F427" s="3">
        <f t="shared" si="48"/>
        <v>4.276855085894038E-4</v>
      </c>
      <c r="G427" s="3">
        <f t="shared" si="49"/>
        <v>2.351664254703234E-3</v>
      </c>
      <c r="H427" s="3">
        <f t="shared" si="50"/>
        <v>1.3600891861761388E-2</v>
      </c>
      <c r="I427" s="3">
        <f t="shared" si="51"/>
        <v>1.2416235236110129E-3</v>
      </c>
      <c r="J427" s="13">
        <v>-0.48</v>
      </c>
      <c r="K427" s="13">
        <v>-0.22</v>
      </c>
      <c r="L427" s="12">
        <v>0.06</v>
      </c>
      <c r="M427" s="20">
        <v>8.9999999999999993E-3</v>
      </c>
      <c r="N427" s="20">
        <f t="shared" si="52"/>
        <v>-8.5723144914105955E-3</v>
      </c>
      <c r="O427" s="20">
        <f t="shared" si="53"/>
        <v>4.600891861761389E-3</v>
      </c>
      <c r="P427" s="20">
        <f t="shared" si="54"/>
        <v>-6.6483357452967653E-3</v>
      </c>
      <c r="Q427" s="20">
        <f t="shared" si="55"/>
        <v>-7.7583764763889864E-3</v>
      </c>
    </row>
    <row r="428" spans="1:17" x14ac:dyDescent="0.2">
      <c r="A428" s="1">
        <v>45183</v>
      </c>
      <c r="B428">
        <v>143.08000000000001</v>
      </c>
      <c r="C428">
        <v>55.87</v>
      </c>
      <c r="D428">
        <v>45.56</v>
      </c>
      <c r="E428" s="2">
        <v>4505.1000000000004</v>
      </c>
      <c r="F428" s="3">
        <f t="shared" si="48"/>
        <v>1.9451371571072462E-2</v>
      </c>
      <c r="G428" s="3">
        <f t="shared" si="49"/>
        <v>8.3017505865368157E-3</v>
      </c>
      <c r="H428" s="3">
        <f t="shared" si="50"/>
        <v>2.1997360316763359E-3</v>
      </c>
      <c r="I428" s="3">
        <f t="shared" si="51"/>
        <v>8.4298837813157057E-3</v>
      </c>
      <c r="J428" s="12">
        <v>0.26</v>
      </c>
      <c r="K428" s="13">
        <v>-0.56999999999999995</v>
      </c>
      <c r="L428" s="12">
        <v>0.96</v>
      </c>
      <c r="M428" s="20">
        <v>8.9999999999999993E-3</v>
      </c>
      <c r="N428" s="20">
        <f t="shared" si="52"/>
        <v>1.0451371571072463E-2</v>
      </c>
      <c r="O428" s="20">
        <f t="shared" si="53"/>
        <v>-6.8002639683236634E-3</v>
      </c>
      <c r="P428" s="20">
        <f t="shared" si="54"/>
        <v>-6.9824941346318357E-4</v>
      </c>
      <c r="Q428" s="20">
        <f t="shared" si="55"/>
        <v>-5.7011621868429362E-4</v>
      </c>
    </row>
    <row r="429" spans="1:17" x14ac:dyDescent="0.2">
      <c r="A429" s="1">
        <v>45184</v>
      </c>
      <c r="B429">
        <v>142.65</v>
      </c>
      <c r="C429">
        <v>55.37</v>
      </c>
      <c r="D429">
        <v>43.88</v>
      </c>
      <c r="E429" s="2">
        <v>4450.32</v>
      </c>
      <c r="F429" s="3">
        <f t="shared" si="48"/>
        <v>-3.0053117137266439E-3</v>
      </c>
      <c r="G429" s="3">
        <f t="shared" si="49"/>
        <v>-8.9493466976910963E-3</v>
      </c>
      <c r="H429" s="3">
        <f t="shared" si="50"/>
        <v>-3.687445127304656E-2</v>
      </c>
      <c r="I429" s="3">
        <f t="shared" si="51"/>
        <v>-1.2159552507158722E-2</v>
      </c>
      <c r="J429" s="12">
        <v>0.36</v>
      </c>
      <c r="K429" s="13">
        <v>-0.26</v>
      </c>
      <c r="L429" s="12">
        <v>0.24</v>
      </c>
      <c r="M429" s="20">
        <v>8.9999999999999993E-3</v>
      </c>
      <c r="N429" s="20">
        <f t="shared" si="52"/>
        <v>-1.2005311713726643E-2</v>
      </c>
      <c r="O429" s="20">
        <f t="shared" si="53"/>
        <v>-4.5874451273046561E-2</v>
      </c>
      <c r="P429" s="20">
        <f t="shared" si="54"/>
        <v>-1.7949346697691097E-2</v>
      </c>
      <c r="Q429" s="20">
        <f t="shared" si="55"/>
        <v>-2.1159552507158723E-2</v>
      </c>
    </row>
    <row r="430" spans="1:17" x14ac:dyDescent="0.2">
      <c r="A430" s="1">
        <v>45187</v>
      </c>
      <c r="B430">
        <v>142.94999999999999</v>
      </c>
      <c r="C430">
        <v>55.71</v>
      </c>
      <c r="D430">
        <v>43.95</v>
      </c>
      <c r="E430" s="2">
        <v>4453.53</v>
      </c>
      <c r="F430" s="3">
        <f t="shared" si="48"/>
        <v>2.103049421661396E-3</v>
      </c>
      <c r="G430" s="3">
        <f t="shared" si="49"/>
        <v>6.1405093010655776E-3</v>
      </c>
      <c r="H430" s="3">
        <f t="shared" si="50"/>
        <v>1.5952597994530748E-3</v>
      </c>
      <c r="I430" s="3">
        <f t="shared" si="51"/>
        <v>7.2129644609830734E-4</v>
      </c>
      <c r="J430" s="14">
        <v>-0.4</v>
      </c>
      <c r="K430" s="12">
        <v>0.37</v>
      </c>
      <c r="L430" s="12">
        <v>0.11</v>
      </c>
      <c r="M430" s="20">
        <v>8.9999999999999993E-3</v>
      </c>
      <c r="N430" s="20">
        <f t="shared" si="52"/>
        <v>-6.8969505783386034E-3</v>
      </c>
      <c r="O430" s="20">
        <f t="shared" si="53"/>
        <v>-7.4047402005469245E-3</v>
      </c>
      <c r="P430" s="20">
        <f t="shared" si="54"/>
        <v>-2.8594906989344217E-3</v>
      </c>
      <c r="Q430" s="20">
        <f t="shared" si="55"/>
        <v>-8.278703553901692E-3</v>
      </c>
    </row>
    <row r="431" spans="1:17" x14ac:dyDescent="0.2">
      <c r="A431" s="1">
        <v>45188</v>
      </c>
      <c r="B431">
        <v>142.77000000000001</v>
      </c>
      <c r="C431">
        <v>55.6</v>
      </c>
      <c r="D431">
        <v>43.5</v>
      </c>
      <c r="E431" s="2">
        <v>4443.95</v>
      </c>
      <c r="F431" s="3">
        <f t="shared" si="48"/>
        <v>-1.2591815320039945E-3</v>
      </c>
      <c r="G431" s="3">
        <f t="shared" si="49"/>
        <v>-1.9745108598097083E-3</v>
      </c>
      <c r="H431" s="3">
        <f t="shared" si="50"/>
        <v>-1.0238907849829393E-2</v>
      </c>
      <c r="I431" s="3">
        <f t="shared" si="51"/>
        <v>-2.1511026084926055E-3</v>
      </c>
      <c r="J431" s="13">
        <v>-0.03</v>
      </c>
      <c r="K431" s="12">
        <v>0.32</v>
      </c>
      <c r="L431" s="13">
        <v>-0.25</v>
      </c>
      <c r="M431" s="20">
        <v>8.9999999999999993E-3</v>
      </c>
      <c r="N431" s="20">
        <f t="shared" si="52"/>
        <v>-1.0259181532003994E-2</v>
      </c>
      <c r="O431" s="20">
        <f t="shared" si="53"/>
        <v>-1.9238907849829394E-2</v>
      </c>
      <c r="P431" s="20">
        <f t="shared" si="54"/>
        <v>-1.0974510859809708E-2</v>
      </c>
      <c r="Q431" s="20">
        <f t="shared" si="55"/>
        <v>-1.1151102608492605E-2</v>
      </c>
    </row>
    <row r="432" spans="1:17" x14ac:dyDescent="0.2">
      <c r="A432" s="1">
        <v>45189</v>
      </c>
      <c r="B432">
        <v>142.16999999999999</v>
      </c>
      <c r="C432">
        <v>55.85</v>
      </c>
      <c r="D432">
        <v>42.22</v>
      </c>
      <c r="E432" s="2">
        <v>4402.2</v>
      </c>
      <c r="F432" s="3">
        <f t="shared" si="48"/>
        <v>-4.20256356377402E-3</v>
      </c>
      <c r="G432" s="3">
        <f t="shared" si="49"/>
        <v>4.4964028776979248E-3</v>
      </c>
      <c r="H432" s="3">
        <f t="shared" si="50"/>
        <v>-2.9425287356321883E-2</v>
      </c>
      <c r="I432" s="3">
        <f t="shared" si="51"/>
        <v>-9.3947951709627553E-3</v>
      </c>
      <c r="J432" s="14">
        <v>-0.5</v>
      </c>
      <c r="K432" s="13">
        <v>-0.11</v>
      </c>
      <c r="L432" s="13">
        <v>-0.53</v>
      </c>
      <c r="M432" s="20">
        <v>8.9999999999999993E-3</v>
      </c>
      <c r="N432" s="20">
        <f t="shared" si="52"/>
        <v>-1.3202563563774019E-2</v>
      </c>
      <c r="O432" s="20">
        <f t="shared" si="53"/>
        <v>-3.8425287356321884E-2</v>
      </c>
      <c r="P432" s="20">
        <f t="shared" si="54"/>
        <v>-4.5035971223020745E-3</v>
      </c>
      <c r="Q432" s="20">
        <f t="shared" si="55"/>
        <v>-1.8394795170962756E-2</v>
      </c>
    </row>
    <row r="433" spans="1:17" x14ac:dyDescent="0.2">
      <c r="A433" s="1">
        <v>45190</v>
      </c>
      <c r="B433">
        <v>141.05000000000001</v>
      </c>
      <c r="C433">
        <v>54.99</v>
      </c>
      <c r="D433">
        <v>41</v>
      </c>
      <c r="E433" s="2">
        <v>4330</v>
      </c>
      <c r="F433" s="3">
        <f t="shared" si="48"/>
        <v>-7.8778926637123048E-3</v>
      </c>
      <c r="G433" s="3">
        <f t="shared" si="49"/>
        <v>-1.5398388540734054E-2</v>
      </c>
      <c r="H433" s="3">
        <f t="shared" si="50"/>
        <v>-2.8896257697773486E-2</v>
      </c>
      <c r="I433" s="3">
        <f t="shared" si="51"/>
        <v>-1.6400890463858953E-2</v>
      </c>
      <c r="J433" s="13">
        <v>-0.86</v>
      </c>
      <c r="K433" s="12">
        <v>0.28000000000000003</v>
      </c>
      <c r="L433" s="13">
        <v>-0.16</v>
      </c>
      <c r="M433" s="20">
        <v>8.9999999999999993E-3</v>
      </c>
      <c r="N433" s="20">
        <f t="shared" si="52"/>
        <v>-1.6877892663712306E-2</v>
      </c>
      <c r="O433" s="20">
        <f t="shared" si="53"/>
        <v>-3.7896257697773487E-2</v>
      </c>
      <c r="P433" s="20">
        <f t="shared" si="54"/>
        <v>-2.4398388540734055E-2</v>
      </c>
      <c r="Q433" s="20">
        <f t="shared" si="55"/>
        <v>-2.5400890463858954E-2</v>
      </c>
    </row>
    <row r="434" spans="1:17" x14ac:dyDescent="0.2">
      <c r="A434" s="1">
        <v>45191</v>
      </c>
      <c r="B434">
        <v>139.69999999999999</v>
      </c>
      <c r="C434">
        <v>55.05</v>
      </c>
      <c r="D434">
        <v>41.59</v>
      </c>
      <c r="E434" s="2">
        <v>4320.0600000000004</v>
      </c>
      <c r="F434" s="3">
        <f t="shared" si="48"/>
        <v>-9.5710740872032574E-3</v>
      </c>
      <c r="G434" s="3">
        <f t="shared" si="49"/>
        <v>1.0911074740860283E-3</v>
      </c>
      <c r="H434" s="3">
        <f t="shared" si="50"/>
        <v>1.4390243902439037E-2</v>
      </c>
      <c r="I434" s="3">
        <f t="shared" si="51"/>
        <v>-2.2956120092377796E-3</v>
      </c>
      <c r="J434" s="15">
        <v>1.1299999999999999</v>
      </c>
      <c r="K434" s="12">
        <v>0.02</v>
      </c>
      <c r="L434" s="13">
        <v>-0.09</v>
      </c>
      <c r="M434" s="20">
        <v>8.9999999999999993E-3</v>
      </c>
      <c r="N434" s="20">
        <f t="shared" si="52"/>
        <v>-1.8571074087203258E-2</v>
      </c>
      <c r="O434" s="20">
        <f t="shared" si="53"/>
        <v>5.3902439024390379E-3</v>
      </c>
      <c r="P434" s="20">
        <f t="shared" si="54"/>
        <v>-7.9088925259139711E-3</v>
      </c>
      <c r="Q434" s="20">
        <f t="shared" si="55"/>
        <v>-1.1295612009237779E-2</v>
      </c>
    </row>
    <row r="435" spans="1:17" x14ac:dyDescent="0.2">
      <c r="A435" s="1">
        <v>45194</v>
      </c>
      <c r="B435">
        <v>140.38999999999999</v>
      </c>
      <c r="C435">
        <v>54.47</v>
      </c>
      <c r="D435">
        <v>42.2</v>
      </c>
      <c r="E435" s="2">
        <v>4337.4399999999996</v>
      </c>
      <c r="F435" s="3">
        <f t="shared" si="48"/>
        <v>4.9391553328561599E-3</v>
      </c>
      <c r="G435" s="3">
        <f t="shared" si="49"/>
        <v>-1.0535876475930905E-2</v>
      </c>
      <c r="H435" s="3">
        <f t="shared" si="50"/>
        <v>1.4666987256552133E-2</v>
      </c>
      <c r="I435" s="3">
        <f t="shared" si="51"/>
        <v>4.0230922718664797E-3</v>
      </c>
      <c r="J435" s="12">
        <v>0.06</v>
      </c>
      <c r="K435" s="12">
        <v>0.49</v>
      </c>
      <c r="L435" s="13">
        <v>-0.22</v>
      </c>
      <c r="M435" s="20">
        <v>8.9999999999999993E-3</v>
      </c>
      <c r="N435" s="20">
        <f t="shared" si="52"/>
        <v>-4.0608446671438394E-3</v>
      </c>
      <c r="O435" s="20">
        <f t="shared" si="53"/>
        <v>5.6669872565521338E-3</v>
      </c>
      <c r="P435" s="20">
        <f t="shared" si="54"/>
        <v>-1.9535876475930906E-2</v>
      </c>
      <c r="Q435" s="20">
        <f t="shared" si="55"/>
        <v>-4.9769077281335197E-3</v>
      </c>
    </row>
    <row r="436" spans="1:17" x14ac:dyDescent="0.2">
      <c r="A436" s="1">
        <v>45195</v>
      </c>
      <c r="B436">
        <v>138.94</v>
      </c>
      <c r="C436">
        <v>54.02</v>
      </c>
      <c r="D436">
        <v>41.89</v>
      </c>
      <c r="E436" s="2">
        <v>4273.53</v>
      </c>
      <c r="F436" s="3">
        <f t="shared" si="48"/>
        <v>-1.0328370966593003E-2</v>
      </c>
      <c r="G436" s="3">
        <f t="shared" si="49"/>
        <v>-8.2614283091608787E-3</v>
      </c>
      <c r="H436" s="3">
        <f t="shared" si="50"/>
        <v>-7.3459715639810907E-3</v>
      </c>
      <c r="I436" s="3">
        <f t="shared" si="51"/>
        <v>-1.473449776826885E-2</v>
      </c>
      <c r="J436" s="12">
        <v>0.57999999999999996</v>
      </c>
      <c r="K436" s="11">
        <v>0.8</v>
      </c>
      <c r="L436" s="13">
        <v>-0.59</v>
      </c>
      <c r="M436" s="20">
        <v>8.9999999999999993E-3</v>
      </c>
      <c r="N436" s="20">
        <f t="shared" si="52"/>
        <v>-1.9328370966593005E-2</v>
      </c>
      <c r="O436" s="20">
        <f t="shared" si="53"/>
        <v>-1.6345971563981092E-2</v>
      </c>
      <c r="P436" s="20">
        <f t="shared" si="54"/>
        <v>-1.726142830916088E-2</v>
      </c>
      <c r="Q436" s="20">
        <f t="shared" si="55"/>
        <v>-2.3734497768268852E-2</v>
      </c>
    </row>
    <row r="437" spans="1:17" x14ac:dyDescent="0.2">
      <c r="A437" s="1">
        <v>45196</v>
      </c>
      <c r="B437">
        <v>139.75</v>
      </c>
      <c r="C437">
        <v>53.47</v>
      </c>
      <c r="D437">
        <v>42.45</v>
      </c>
      <c r="E437" s="2">
        <v>4274.51</v>
      </c>
      <c r="F437" s="3">
        <f t="shared" si="48"/>
        <v>5.8298546135022722E-3</v>
      </c>
      <c r="G437" s="3">
        <f t="shared" si="49"/>
        <v>-1.0181414291003388E-2</v>
      </c>
      <c r="H437" s="3">
        <f t="shared" si="50"/>
        <v>1.336834566722378E-2</v>
      </c>
      <c r="I437" s="3">
        <f t="shared" si="51"/>
        <v>2.2931861950192811E-4</v>
      </c>
      <c r="J437" s="12">
        <v>0.38</v>
      </c>
      <c r="K437" s="13">
        <v>-0.28000000000000003</v>
      </c>
      <c r="L437" s="13">
        <v>-0.31</v>
      </c>
      <c r="M437" s="20">
        <v>8.9999999999999993E-3</v>
      </c>
      <c r="N437" s="20">
        <f t="shared" si="52"/>
        <v>-3.1701453864977271E-3</v>
      </c>
      <c r="O437" s="20">
        <f t="shared" si="53"/>
        <v>4.3683456672237806E-3</v>
      </c>
      <c r="P437" s="20">
        <f t="shared" si="54"/>
        <v>-1.9181414291003389E-2</v>
      </c>
      <c r="Q437" s="20">
        <f t="shared" si="55"/>
        <v>-8.7706813804980712E-3</v>
      </c>
    </row>
    <row r="438" spans="1:17" x14ac:dyDescent="0.2">
      <c r="A438" s="1">
        <v>45197</v>
      </c>
      <c r="B438">
        <v>141.49</v>
      </c>
      <c r="C438">
        <v>53.33</v>
      </c>
      <c r="D438">
        <v>43.07</v>
      </c>
      <c r="E438" s="2">
        <v>4299.7</v>
      </c>
      <c r="F438" s="3">
        <f t="shared" si="48"/>
        <v>1.2450805008944688E-2</v>
      </c>
      <c r="G438" s="3">
        <f t="shared" si="49"/>
        <v>-2.6182906302599784E-3</v>
      </c>
      <c r="H438" s="3">
        <f t="shared" si="50"/>
        <v>1.460541813898697E-2</v>
      </c>
      <c r="I438" s="3">
        <f t="shared" si="51"/>
        <v>5.8930731241708667E-3</v>
      </c>
      <c r="J438" s="13">
        <v>-0.37</v>
      </c>
      <c r="K438" s="12">
        <v>0.04</v>
      </c>
      <c r="L438" s="13">
        <v>-0.03</v>
      </c>
      <c r="M438" s="20">
        <v>8.9999999999999993E-3</v>
      </c>
      <c r="N438" s="20">
        <f t="shared" si="52"/>
        <v>3.4508050089446882E-3</v>
      </c>
      <c r="O438" s="20">
        <f t="shared" si="53"/>
        <v>5.6054181389869704E-3</v>
      </c>
      <c r="P438" s="20">
        <f t="shared" si="54"/>
        <v>-1.1618290630259978E-2</v>
      </c>
      <c r="Q438" s="20">
        <f t="shared" si="55"/>
        <v>-3.1069268758291326E-3</v>
      </c>
    </row>
    <row r="439" spans="1:17" x14ac:dyDescent="0.2">
      <c r="A439" s="1">
        <v>45198</v>
      </c>
      <c r="B439">
        <v>139.02000000000001</v>
      </c>
      <c r="C439">
        <v>53.5</v>
      </c>
      <c r="D439">
        <v>43.48</v>
      </c>
      <c r="E439" s="2">
        <v>4288.05</v>
      </c>
      <c r="F439" s="3">
        <f t="shared" si="48"/>
        <v>-1.7457064103470255E-2</v>
      </c>
      <c r="G439" s="3">
        <f t="shared" si="49"/>
        <v>3.1876992312018793E-3</v>
      </c>
      <c r="H439" s="3">
        <f t="shared" si="50"/>
        <v>9.5193870443464057E-3</v>
      </c>
      <c r="I439" s="3">
        <f t="shared" si="51"/>
        <v>-2.7094913598622039E-3</v>
      </c>
      <c r="J439" s="12">
        <v>0.52</v>
      </c>
      <c r="K439" s="12">
        <v>0.19</v>
      </c>
      <c r="L439" s="12">
        <v>0.22</v>
      </c>
      <c r="M439" s="20">
        <v>8.9999999999999993E-3</v>
      </c>
      <c r="N439" s="20">
        <f t="shared" si="52"/>
        <v>-2.6457064103470256E-2</v>
      </c>
      <c r="O439" s="20">
        <f t="shared" si="53"/>
        <v>5.1938704434640638E-4</v>
      </c>
      <c r="P439" s="20">
        <f t="shared" si="54"/>
        <v>-5.8123007687981201E-3</v>
      </c>
      <c r="Q439" s="20">
        <f t="shared" si="55"/>
        <v>-1.1709491359862203E-2</v>
      </c>
    </row>
    <row r="440" spans="1:17" x14ac:dyDescent="0.2">
      <c r="A440" s="1">
        <v>45201</v>
      </c>
      <c r="B440">
        <v>137.82</v>
      </c>
      <c r="C440">
        <v>53.02</v>
      </c>
      <c r="D440">
        <v>44.76</v>
      </c>
      <c r="E440" s="2">
        <v>4288.3900000000003</v>
      </c>
      <c r="F440" s="3">
        <f t="shared" si="48"/>
        <v>-8.6318515321537337E-3</v>
      </c>
      <c r="G440" s="3">
        <f t="shared" si="49"/>
        <v>-8.9719626168224265E-3</v>
      </c>
      <c r="H440" s="3">
        <f t="shared" si="50"/>
        <v>2.9438822447102053E-2</v>
      </c>
      <c r="I440" s="3">
        <f t="shared" si="51"/>
        <v>7.9290120217789806E-5</v>
      </c>
      <c r="J440" s="12">
        <v>0.66</v>
      </c>
      <c r="K440" s="13">
        <v>-0.26</v>
      </c>
      <c r="L440" s="13">
        <v>-0.37</v>
      </c>
      <c r="M440" s="20">
        <v>8.9999999999999993E-3</v>
      </c>
      <c r="N440" s="20">
        <f t="shared" si="52"/>
        <v>-1.7631851532153735E-2</v>
      </c>
      <c r="O440" s="20">
        <f t="shared" si="53"/>
        <v>2.0438822447102052E-2</v>
      </c>
      <c r="P440" s="20">
        <f t="shared" si="54"/>
        <v>-1.7971962616822428E-2</v>
      </c>
      <c r="Q440" s="20">
        <f t="shared" si="55"/>
        <v>-8.9207098797822095E-3</v>
      </c>
    </row>
    <row r="441" spans="1:17" x14ac:dyDescent="0.2">
      <c r="A441" s="1">
        <v>45202</v>
      </c>
      <c r="B441">
        <v>136.81</v>
      </c>
      <c r="C441">
        <v>52.45</v>
      </c>
      <c r="D441">
        <v>43.5</v>
      </c>
      <c r="E441" s="2">
        <v>4229.45</v>
      </c>
      <c r="F441" s="3">
        <f t="shared" si="48"/>
        <v>-7.3283993614858822E-3</v>
      </c>
      <c r="G441" s="3">
        <f t="shared" si="49"/>
        <v>-1.0750660128253542E-2</v>
      </c>
      <c r="H441" s="3">
        <f t="shared" si="50"/>
        <v>-2.815013404825728E-2</v>
      </c>
      <c r="I441" s="3">
        <f t="shared" si="51"/>
        <v>-1.374408577578079E-2</v>
      </c>
      <c r="J441" s="12">
        <v>0.05</v>
      </c>
      <c r="K441" s="13">
        <v>-0.14000000000000001</v>
      </c>
      <c r="L441" s="12">
        <v>0.64</v>
      </c>
      <c r="M441" s="20">
        <v>8.9999999999999993E-3</v>
      </c>
      <c r="N441" s="20">
        <f t="shared" si="52"/>
        <v>-1.6328399361485883E-2</v>
      </c>
      <c r="O441" s="20">
        <f t="shared" si="53"/>
        <v>-3.7150134048257281E-2</v>
      </c>
      <c r="P441" s="20">
        <f t="shared" si="54"/>
        <v>-1.9750660128253543E-2</v>
      </c>
      <c r="Q441" s="20">
        <f t="shared" si="55"/>
        <v>-2.2744085775780791E-2</v>
      </c>
    </row>
    <row r="442" spans="1:17" x14ac:dyDescent="0.2">
      <c r="A442" s="1">
        <v>45203</v>
      </c>
      <c r="B442">
        <v>137.41999999999999</v>
      </c>
      <c r="C442">
        <v>52.6</v>
      </c>
      <c r="D442">
        <v>44.02</v>
      </c>
      <c r="E442" s="2">
        <v>4263.75</v>
      </c>
      <c r="F442" s="3">
        <f t="shared" si="48"/>
        <v>4.4587383963159422E-3</v>
      </c>
      <c r="G442" s="3">
        <f t="shared" si="49"/>
        <v>2.8598665395613843E-3</v>
      </c>
      <c r="H442" s="3">
        <f t="shared" si="50"/>
        <v>1.1954022988505786E-2</v>
      </c>
      <c r="I442" s="3">
        <f t="shared" si="51"/>
        <v>8.1098015108347354E-3</v>
      </c>
      <c r="J442" s="12">
        <v>0.32</v>
      </c>
      <c r="K442" s="12">
        <v>0.22</v>
      </c>
      <c r="L442" s="13">
        <v>-0.35</v>
      </c>
      <c r="M442" s="20">
        <v>8.9999999999999993E-3</v>
      </c>
      <c r="N442" s="20">
        <f t="shared" si="52"/>
        <v>-4.5412616036840572E-3</v>
      </c>
      <c r="O442" s="20">
        <f t="shared" si="53"/>
        <v>2.9540229885057865E-3</v>
      </c>
      <c r="P442" s="20">
        <f t="shared" si="54"/>
        <v>-6.1401334604386151E-3</v>
      </c>
      <c r="Q442" s="20">
        <f t="shared" si="55"/>
        <v>-8.9019848916526388E-4</v>
      </c>
    </row>
    <row r="443" spans="1:17" x14ac:dyDescent="0.2">
      <c r="A443" s="1">
        <v>45204</v>
      </c>
      <c r="B443">
        <v>138</v>
      </c>
      <c r="C443">
        <v>50.06</v>
      </c>
      <c r="D443">
        <v>44.67</v>
      </c>
      <c r="E443" s="2">
        <v>4258.1899999999996</v>
      </c>
      <c r="F443" s="3">
        <f t="shared" si="48"/>
        <v>4.2206374617961284E-3</v>
      </c>
      <c r="G443" s="3">
        <f t="shared" si="49"/>
        <v>-4.8288973384030376E-2</v>
      </c>
      <c r="H443" s="3">
        <f t="shared" si="50"/>
        <v>1.4766015447523761E-2</v>
      </c>
      <c r="I443" s="3">
        <f t="shared" si="51"/>
        <v>-1.3040164174730196E-3</v>
      </c>
      <c r="J443" s="12">
        <v>0.01</v>
      </c>
      <c r="K443" s="13">
        <v>-0.26</v>
      </c>
      <c r="L443" s="11">
        <v>0.2</v>
      </c>
      <c r="M443" s="20">
        <v>8.9999999999999993E-3</v>
      </c>
      <c r="N443" s="20">
        <f t="shared" si="52"/>
        <v>-4.7793625382038709E-3</v>
      </c>
      <c r="O443" s="20">
        <f t="shared" si="53"/>
        <v>5.7660154475237622E-3</v>
      </c>
      <c r="P443" s="20">
        <f t="shared" si="54"/>
        <v>-5.7288973384030377E-2</v>
      </c>
      <c r="Q443" s="20">
        <f t="shared" si="55"/>
        <v>-1.0304016417473019E-2</v>
      </c>
    </row>
    <row r="444" spans="1:17" x14ac:dyDescent="0.2">
      <c r="A444" s="1">
        <v>45205</v>
      </c>
      <c r="B444">
        <v>140.12</v>
      </c>
      <c r="C444">
        <v>50.78</v>
      </c>
      <c r="D444">
        <v>45.74</v>
      </c>
      <c r="E444" s="2">
        <v>4308.5</v>
      </c>
      <c r="F444" s="3">
        <f t="shared" si="48"/>
        <v>1.5362318840579814E-2</v>
      </c>
      <c r="G444" s="3">
        <f t="shared" si="49"/>
        <v>1.4382740711146536E-2</v>
      </c>
      <c r="H444" s="3">
        <f t="shared" si="50"/>
        <v>2.3953436310722998E-2</v>
      </c>
      <c r="I444" s="3">
        <f t="shared" si="51"/>
        <v>1.1814879091820885E-2</v>
      </c>
      <c r="J444" s="13">
        <v>-7.0000000000000007E-2</v>
      </c>
      <c r="K444" s="14">
        <v>-0.1</v>
      </c>
      <c r="L444" s="12">
        <v>0.27</v>
      </c>
      <c r="M444" s="20">
        <v>8.9999999999999993E-3</v>
      </c>
      <c r="N444" s="20">
        <f t="shared" si="52"/>
        <v>6.3623188405798146E-3</v>
      </c>
      <c r="O444" s="20">
        <f t="shared" si="53"/>
        <v>1.4953436310722998E-2</v>
      </c>
      <c r="P444" s="20">
        <f t="shared" si="54"/>
        <v>5.3827407111465362E-3</v>
      </c>
      <c r="Q444" s="20">
        <f t="shared" si="55"/>
        <v>2.8148790918208853E-3</v>
      </c>
    </row>
    <row r="445" spans="1:17" x14ac:dyDescent="0.2">
      <c r="A445" s="1">
        <v>45208</v>
      </c>
      <c r="B445">
        <v>139.81</v>
      </c>
      <c r="C445">
        <v>50.53</v>
      </c>
      <c r="D445">
        <v>45.25</v>
      </c>
      <c r="E445" s="2">
        <v>4335.66</v>
      </c>
      <c r="F445" s="3">
        <f t="shared" si="48"/>
        <v>-2.2123893805310324E-3</v>
      </c>
      <c r="G445" s="3">
        <f t="shared" si="49"/>
        <v>-4.923198109491933E-3</v>
      </c>
      <c r="H445" s="3">
        <f t="shared" si="50"/>
        <v>-1.0712724092697856E-2</v>
      </c>
      <c r="I445" s="3">
        <f t="shared" si="51"/>
        <v>6.3038180341186134E-3</v>
      </c>
      <c r="J445" s="13">
        <v>-0.06</v>
      </c>
      <c r="K445" s="14">
        <v>-0.5</v>
      </c>
      <c r="L445" s="12">
        <v>0.21</v>
      </c>
      <c r="M445" s="20">
        <v>8.9999999999999993E-3</v>
      </c>
      <c r="N445" s="20">
        <f t="shared" si="52"/>
        <v>-1.1212389380531032E-2</v>
      </c>
      <c r="O445" s="20">
        <f t="shared" si="53"/>
        <v>-1.9712724092697857E-2</v>
      </c>
      <c r="P445" s="20">
        <f t="shared" si="54"/>
        <v>-1.3923198109491932E-2</v>
      </c>
      <c r="Q445" s="20">
        <f t="shared" si="55"/>
        <v>-2.6961819658813859E-3</v>
      </c>
    </row>
    <row r="446" spans="1:17" x14ac:dyDescent="0.2">
      <c r="A446" s="1">
        <v>45209</v>
      </c>
      <c r="B446">
        <v>140.66</v>
      </c>
      <c r="C446">
        <v>51.63</v>
      </c>
      <c r="D446">
        <v>45.78</v>
      </c>
      <c r="E446" s="2">
        <v>4358.24</v>
      </c>
      <c r="F446" s="3">
        <f t="shared" si="48"/>
        <v>6.0796795651241187E-3</v>
      </c>
      <c r="G446" s="3">
        <f t="shared" si="49"/>
        <v>2.1769245992479647E-2</v>
      </c>
      <c r="H446" s="3">
        <f t="shared" si="50"/>
        <v>1.1712707182320425E-2</v>
      </c>
      <c r="I446" s="3">
        <f t="shared" si="51"/>
        <v>5.2079729499083793E-3</v>
      </c>
      <c r="J446" s="11">
        <v>0.2</v>
      </c>
      <c r="K446" s="13">
        <v>-0.32</v>
      </c>
      <c r="L446" s="12">
        <v>0.09</v>
      </c>
      <c r="M446" s="20">
        <v>8.9999999999999993E-3</v>
      </c>
      <c r="N446" s="20">
        <f t="shared" si="52"/>
        <v>-2.9203204348758807E-3</v>
      </c>
      <c r="O446" s="20">
        <f t="shared" si="53"/>
        <v>2.7127071823204261E-3</v>
      </c>
      <c r="P446" s="20">
        <f t="shared" si="54"/>
        <v>1.2769245992479647E-2</v>
      </c>
      <c r="Q446" s="20">
        <f t="shared" si="55"/>
        <v>-3.79202705009162E-3</v>
      </c>
    </row>
    <row r="447" spans="1:17" x14ac:dyDescent="0.2">
      <c r="A447" s="1">
        <v>45210</v>
      </c>
      <c r="B447">
        <v>141.13999999999999</v>
      </c>
      <c r="C447">
        <v>51.33</v>
      </c>
      <c r="D447">
        <v>46.78</v>
      </c>
      <c r="E447" s="2">
        <v>4376.95</v>
      </c>
      <c r="F447" s="3">
        <f t="shared" si="48"/>
        <v>3.4124840039810866E-3</v>
      </c>
      <c r="G447" s="3">
        <f t="shared" si="49"/>
        <v>-5.8105752469495009E-3</v>
      </c>
      <c r="H447" s="3">
        <f t="shared" si="50"/>
        <v>2.1843599825251303E-2</v>
      </c>
      <c r="I447" s="3">
        <f t="shared" si="51"/>
        <v>4.2930173648079162E-3</v>
      </c>
      <c r="J447" s="12">
        <v>0.14000000000000001</v>
      </c>
      <c r="K447" s="13">
        <v>-0.01</v>
      </c>
      <c r="L447" s="11">
        <v>0.4</v>
      </c>
      <c r="M447" s="20">
        <v>8.9999999999999993E-3</v>
      </c>
      <c r="N447" s="20">
        <f t="shared" si="52"/>
        <v>-5.5875159960189127E-3</v>
      </c>
      <c r="O447" s="20">
        <f t="shared" si="53"/>
        <v>1.2843599825251304E-2</v>
      </c>
      <c r="P447" s="20">
        <f t="shared" si="54"/>
        <v>-1.48105752469495E-2</v>
      </c>
      <c r="Q447" s="20">
        <f t="shared" si="55"/>
        <v>-4.7069826351920831E-3</v>
      </c>
    </row>
    <row r="448" spans="1:17" x14ac:dyDescent="0.2">
      <c r="A448" s="1">
        <v>45211</v>
      </c>
      <c r="B448">
        <v>140.81</v>
      </c>
      <c r="C448">
        <v>50.47</v>
      </c>
      <c r="D448">
        <v>46.92</v>
      </c>
      <c r="E448" s="2">
        <v>4349.6099999999997</v>
      </c>
      <c r="F448" s="3">
        <f t="shared" si="48"/>
        <v>-2.338104010202513E-3</v>
      </c>
      <c r="G448" s="3">
        <f t="shared" si="49"/>
        <v>-1.6754334697058226E-2</v>
      </c>
      <c r="H448" s="3">
        <f t="shared" si="50"/>
        <v>2.9927319367251126E-3</v>
      </c>
      <c r="I448" s="3">
        <f t="shared" si="51"/>
        <v>-6.2463587658072584E-3</v>
      </c>
      <c r="J448" s="12">
        <v>0.01</v>
      </c>
      <c r="K448" s="12">
        <v>0.25</v>
      </c>
      <c r="L448" s="13">
        <v>-0.28000000000000003</v>
      </c>
      <c r="M448" s="20">
        <v>8.9999999999999993E-3</v>
      </c>
      <c r="N448" s="20">
        <f t="shared" si="52"/>
        <v>-1.1338104010202512E-2</v>
      </c>
      <c r="O448" s="20">
        <f t="shared" si="53"/>
        <v>-6.0072680632748867E-3</v>
      </c>
      <c r="P448" s="20">
        <f t="shared" si="54"/>
        <v>-2.5754334697058227E-2</v>
      </c>
      <c r="Q448" s="20">
        <f t="shared" si="55"/>
        <v>-1.5246358765807258E-2</v>
      </c>
    </row>
    <row r="449" spans="1:17" x14ac:dyDescent="0.2">
      <c r="A449" s="1">
        <v>45212</v>
      </c>
      <c r="B449">
        <v>142.93</v>
      </c>
      <c r="C449">
        <v>50.54</v>
      </c>
      <c r="D449">
        <v>45.44</v>
      </c>
      <c r="E449" s="2">
        <v>4327.78</v>
      </c>
      <c r="F449" s="3">
        <f t="shared" si="48"/>
        <v>1.5055748881471542E-2</v>
      </c>
      <c r="G449" s="3">
        <f t="shared" si="49"/>
        <v>1.3869625520110951E-3</v>
      </c>
      <c r="H449" s="3">
        <f t="shared" si="50"/>
        <v>-3.1543052003410121E-2</v>
      </c>
      <c r="I449" s="3">
        <f t="shared" si="51"/>
        <v>-5.0188407696322157E-3</v>
      </c>
      <c r="J449" s="13">
        <v>-0.56999999999999995</v>
      </c>
      <c r="K449" s="12">
        <v>0.25</v>
      </c>
      <c r="L449" s="13">
        <v>-0.21</v>
      </c>
      <c r="M449" s="20">
        <v>8.9999999999999993E-3</v>
      </c>
      <c r="N449" s="20">
        <f t="shared" si="52"/>
        <v>6.055748881471543E-3</v>
      </c>
      <c r="O449" s="20">
        <f t="shared" si="53"/>
        <v>-4.0543052003410122E-2</v>
      </c>
      <c r="P449" s="20">
        <f t="shared" si="54"/>
        <v>-7.6130374479889042E-3</v>
      </c>
      <c r="Q449" s="20">
        <f t="shared" si="55"/>
        <v>-1.4018840769632215E-2</v>
      </c>
    </row>
    <row r="450" spans="1:17" x14ac:dyDescent="0.2">
      <c r="A450" s="1">
        <v>45215</v>
      </c>
      <c r="B450">
        <v>142.78</v>
      </c>
      <c r="C450">
        <v>51.06</v>
      </c>
      <c r="D450">
        <v>46.07</v>
      </c>
      <c r="E450" s="2">
        <v>4373.63</v>
      </c>
      <c r="F450" s="3">
        <f t="shared" si="48"/>
        <v>-1.0494647729658579E-3</v>
      </c>
      <c r="G450" s="3">
        <f t="shared" si="49"/>
        <v>1.0288880094974306E-2</v>
      </c>
      <c r="H450" s="3">
        <f t="shared" si="50"/>
        <v>1.3864436619718257E-2</v>
      </c>
      <c r="I450" s="3">
        <f t="shared" si="51"/>
        <v>1.0594346293018697E-2</v>
      </c>
      <c r="J450" s="12">
        <v>0.15</v>
      </c>
      <c r="K450" s="13">
        <v>-0.09</v>
      </c>
      <c r="L450" s="16">
        <v>-1.1000000000000001</v>
      </c>
      <c r="M450" s="20">
        <v>8.9999999999999993E-3</v>
      </c>
      <c r="N450" s="20">
        <f t="shared" si="52"/>
        <v>-1.0049464772965857E-2</v>
      </c>
      <c r="O450" s="20">
        <f t="shared" si="53"/>
        <v>4.8644366197182574E-3</v>
      </c>
      <c r="P450" s="20">
        <f t="shared" si="54"/>
        <v>1.2888800949743071E-3</v>
      </c>
      <c r="Q450" s="20">
        <f t="shared" si="55"/>
        <v>1.5943462930186978E-3</v>
      </c>
    </row>
    <row r="451" spans="1:17" x14ac:dyDescent="0.2">
      <c r="A451" s="1">
        <v>45216</v>
      </c>
      <c r="B451">
        <v>142.47</v>
      </c>
      <c r="C451">
        <v>51.67</v>
      </c>
      <c r="D451">
        <v>43.92</v>
      </c>
      <c r="E451" s="2">
        <v>4373.2</v>
      </c>
      <c r="F451" s="3">
        <f t="shared" si="48"/>
        <v>-2.1711724331139326E-3</v>
      </c>
      <c r="G451" s="3">
        <f t="shared" si="49"/>
        <v>1.1946729338033757E-2</v>
      </c>
      <c r="H451" s="3">
        <f t="shared" si="50"/>
        <v>-4.6668113739960937E-2</v>
      </c>
      <c r="I451" s="3">
        <f t="shared" si="51"/>
        <v>-9.831650139591197E-5</v>
      </c>
      <c r="J451" s="12">
        <v>0.43</v>
      </c>
      <c r="K451" s="12">
        <v>0.71</v>
      </c>
      <c r="L451" s="13">
        <v>-0.03</v>
      </c>
      <c r="M451" s="20">
        <v>8.9999999999999993E-3</v>
      </c>
      <c r="N451" s="20">
        <f t="shared" si="52"/>
        <v>-1.1171172433113932E-2</v>
      </c>
      <c r="O451" s="20">
        <f t="shared" si="53"/>
        <v>-5.5668113739960938E-2</v>
      </c>
      <c r="P451" s="20">
        <f t="shared" si="54"/>
        <v>2.9467293380337576E-3</v>
      </c>
      <c r="Q451" s="20">
        <f t="shared" si="55"/>
        <v>-9.0983165013959113E-3</v>
      </c>
    </row>
    <row r="452" spans="1:17" x14ac:dyDescent="0.2">
      <c r="A452" s="1">
        <v>45217</v>
      </c>
      <c r="B452">
        <v>140.91</v>
      </c>
      <c r="C452">
        <v>51.65</v>
      </c>
      <c r="D452">
        <v>42.18</v>
      </c>
      <c r="E452" s="2">
        <v>4314.6000000000004</v>
      </c>
      <c r="F452" s="3">
        <f t="shared" ref="F452:F515" si="56">(B452/B451)-1</f>
        <v>-1.0949673615498035E-2</v>
      </c>
      <c r="G452" s="3">
        <f t="shared" ref="G452:G515" si="57">(C452/C451)-1</f>
        <v>-3.8707180181929424E-4</v>
      </c>
      <c r="H452" s="3">
        <f t="shared" ref="H452:H515" si="58">(D452/D451)-1</f>
        <v>-3.9617486338797803E-2</v>
      </c>
      <c r="I452" s="3">
        <f t="shared" ref="I452:I515" si="59">(E452/E451)-1</f>
        <v>-1.3399798774352711E-2</v>
      </c>
      <c r="J452" s="12">
        <v>0.32</v>
      </c>
      <c r="K452" s="12">
        <v>0.18</v>
      </c>
      <c r="L452" s="12">
        <v>0.02</v>
      </c>
      <c r="M452" s="20">
        <v>8.9999999999999993E-3</v>
      </c>
      <c r="N452" s="20">
        <f t="shared" ref="N452:N515" si="60">F452-M452</f>
        <v>-1.9949673615498036E-2</v>
      </c>
      <c r="O452" s="20">
        <f t="shared" ref="O452:O515" si="61">H452-M452</f>
        <v>-4.8617486338797804E-2</v>
      </c>
      <c r="P452" s="20">
        <f t="shared" ref="P452:P515" si="62">G452-M452</f>
        <v>-9.3870718018192936E-3</v>
      </c>
      <c r="Q452" s="20">
        <f t="shared" ref="Q452:Q515" si="63">I452-M452</f>
        <v>-2.2399798774352712E-2</v>
      </c>
    </row>
    <row r="453" spans="1:17" x14ac:dyDescent="0.2">
      <c r="A453" s="1">
        <v>45218</v>
      </c>
      <c r="B453">
        <v>140.31</v>
      </c>
      <c r="C453">
        <v>51.94</v>
      </c>
      <c r="D453">
        <v>42.08</v>
      </c>
      <c r="E453" s="2">
        <v>4278</v>
      </c>
      <c r="F453" s="3">
        <f t="shared" si="56"/>
        <v>-4.2580370449222249E-3</v>
      </c>
      <c r="G453" s="3">
        <f t="shared" si="57"/>
        <v>5.6147144240077385E-3</v>
      </c>
      <c r="H453" s="3">
        <f t="shared" si="58"/>
        <v>-2.3707918444760834E-3</v>
      </c>
      <c r="I453" s="3">
        <f t="shared" si="59"/>
        <v>-8.4828257544152796E-3</v>
      </c>
      <c r="J453" s="12">
        <v>0.45</v>
      </c>
      <c r="K453" s="12">
        <v>0.83</v>
      </c>
      <c r="L453" s="13">
        <v>-0.12</v>
      </c>
      <c r="M453" s="21">
        <v>0.01</v>
      </c>
      <c r="N453" s="20">
        <f t="shared" si="60"/>
        <v>-1.4258037044922225E-2</v>
      </c>
      <c r="O453" s="20">
        <f t="shared" si="61"/>
        <v>-1.2370791844476084E-2</v>
      </c>
      <c r="P453" s="20">
        <f t="shared" si="62"/>
        <v>-4.3852855759922618E-3</v>
      </c>
      <c r="Q453" s="20">
        <f t="shared" si="63"/>
        <v>-1.8482825754415282E-2</v>
      </c>
    </row>
    <row r="454" spans="1:17" x14ac:dyDescent="0.2">
      <c r="A454" s="1">
        <v>45219</v>
      </c>
      <c r="B454">
        <v>138.05000000000001</v>
      </c>
      <c r="C454">
        <v>52.15</v>
      </c>
      <c r="D454">
        <v>41.37</v>
      </c>
      <c r="E454" s="2">
        <v>4224.16</v>
      </c>
      <c r="F454" s="3">
        <f t="shared" si="56"/>
        <v>-1.6107191219442596E-2</v>
      </c>
      <c r="G454" s="3">
        <f t="shared" si="57"/>
        <v>4.0431266846361336E-3</v>
      </c>
      <c r="H454" s="3">
        <f t="shared" si="58"/>
        <v>-1.6872623574144541E-2</v>
      </c>
      <c r="I454" s="3">
        <f t="shared" si="59"/>
        <v>-1.2585320243104325E-2</v>
      </c>
      <c r="J454" s="13">
        <v>-0.14000000000000001</v>
      </c>
      <c r="K454" s="12">
        <v>0.52</v>
      </c>
      <c r="L454" s="13">
        <v>-0.05</v>
      </c>
      <c r="M454" s="21">
        <v>0.01</v>
      </c>
      <c r="N454" s="20">
        <f t="shared" si="60"/>
        <v>-2.6107191219442598E-2</v>
      </c>
      <c r="O454" s="20">
        <f t="shared" si="61"/>
        <v>-2.6872623574144543E-2</v>
      </c>
      <c r="P454" s="20">
        <f t="shared" si="62"/>
        <v>-5.9568733153638666E-3</v>
      </c>
      <c r="Q454" s="20">
        <f t="shared" si="63"/>
        <v>-2.2585320243104327E-2</v>
      </c>
    </row>
    <row r="455" spans="1:17" x14ac:dyDescent="0.2">
      <c r="A455" s="1">
        <v>45222</v>
      </c>
      <c r="B455">
        <v>136.16999999999999</v>
      </c>
      <c r="C455">
        <v>51.68</v>
      </c>
      <c r="D455">
        <v>42.96</v>
      </c>
      <c r="E455" s="2">
        <v>4217.04</v>
      </c>
      <c r="F455" s="3">
        <f t="shared" si="56"/>
        <v>-1.361825425570462E-2</v>
      </c>
      <c r="G455" s="3">
        <f t="shared" si="57"/>
        <v>-9.0124640460210736E-3</v>
      </c>
      <c r="H455" s="3">
        <f t="shared" si="58"/>
        <v>3.8433647570703444E-2</v>
      </c>
      <c r="I455" s="3">
        <f t="shared" si="59"/>
        <v>-1.685542214310054E-3</v>
      </c>
      <c r="J455" s="13">
        <v>-0.73</v>
      </c>
      <c r="K455" s="14">
        <v>-0.1</v>
      </c>
      <c r="L455" s="12">
        <v>0.26</v>
      </c>
      <c r="M455" s="21">
        <v>0.01</v>
      </c>
      <c r="N455" s="20">
        <f t="shared" si="60"/>
        <v>-2.3618254255704622E-2</v>
      </c>
      <c r="O455" s="20">
        <f t="shared" si="61"/>
        <v>2.8433647570703442E-2</v>
      </c>
      <c r="P455" s="20">
        <f t="shared" si="62"/>
        <v>-1.9012464046021076E-2</v>
      </c>
      <c r="Q455" s="20">
        <f t="shared" si="63"/>
        <v>-1.1685542214310054E-2</v>
      </c>
    </row>
    <row r="456" spans="1:17" x14ac:dyDescent="0.2">
      <c r="A456" s="1">
        <v>45223</v>
      </c>
      <c r="B456">
        <v>136.33000000000001</v>
      </c>
      <c r="C456">
        <v>53.17</v>
      </c>
      <c r="D456">
        <v>43.64</v>
      </c>
      <c r="E456" s="2">
        <v>4247.68</v>
      </c>
      <c r="F456" s="3">
        <f t="shared" si="56"/>
        <v>1.1750018359406589E-3</v>
      </c>
      <c r="G456" s="3">
        <f t="shared" si="57"/>
        <v>2.8831269349845146E-2</v>
      </c>
      <c r="H456" s="3">
        <f t="shared" si="58"/>
        <v>1.5828677839851091E-2</v>
      </c>
      <c r="I456" s="3">
        <f t="shared" si="59"/>
        <v>7.2657598694820802E-3</v>
      </c>
      <c r="J456" s="12">
        <v>0.62</v>
      </c>
      <c r="K456" s="12">
        <v>0.53</v>
      </c>
      <c r="L456" s="12">
        <v>0.06</v>
      </c>
      <c r="M456" s="21">
        <v>0.01</v>
      </c>
      <c r="N456" s="20">
        <f t="shared" si="60"/>
        <v>-8.8249981640593413E-3</v>
      </c>
      <c r="O456" s="20">
        <f t="shared" si="61"/>
        <v>5.8286778398510906E-3</v>
      </c>
      <c r="P456" s="20">
        <f t="shared" si="62"/>
        <v>1.8831269349845144E-2</v>
      </c>
      <c r="Q456" s="20">
        <f t="shared" si="63"/>
        <v>-2.73424013051792E-3</v>
      </c>
    </row>
    <row r="457" spans="1:17" x14ac:dyDescent="0.2">
      <c r="A457" s="1">
        <v>45224</v>
      </c>
      <c r="B457">
        <v>135.59</v>
      </c>
      <c r="C457">
        <v>53.63</v>
      </c>
      <c r="D457">
        <v>41.76</v>
      </c>
      <c r="E457" s="2">
        <v>4186.7700000000004</v>
      </c>
      <c r="F457" s="3">
        <f t="shared" si="56"/>
        <v>-5.428005574708461E-3</v>
      </c>
      <c r="G457" s="3">
        <f t="shared" si="57"/>
        <v>8.6514952040623871E-3</v>
      </c>
      <c r="H457" s="3">
        <f t="shared" si="58"/>
        <v>-4.3079743354720534E-2</v>
      </c>
      <c r="I457" s="3">
        <f t="shared" si="59"/>
        <v>-1.4339592436341642E-2</v>
      </c>
      <c r="J457" s="12">
        <v>0.11</v>
      </c>
      <c r="K457" s="13">
        <v>-0.01</v>
      </c>
      <c r="L457" s="12">
        <v>0.28999999999999998</v>
      </c>
      <c r="M457" s="21">
        <v>0.01</v>
      </c>
      <c r="N457" s="20">
        <f t="shared" si="60"/>
        <v>-1.5428005574708461E-2</v>
      </c>
      <c r="O457" s="20">
        <f t="shared" si="61"/>
        <v>-5.3079743354720536E-2</v>
      </c>
      <c r="P457" s="20">
        <f t="shared" si="62"/>
        <v>-1.3485047959376131E-3</v>
      </c>
      <c r="Q457" s="20">
        <f t="shared" si="63"/>
        <v>-2.4339592436341644E-2</v>
      </c>
    </row>
    <row r="458" spans="1:17" x14ac:dyDescent="0.2">
      <c r="A458" s="1">
        <v>45225</v>
      </c>
      <c r="B458">
        <v>135.93</v>
      </c>
      <c r="C458">
        <v>53.31</v>
      </c>
      <c r="D458">
        <v>40.31</v>
      </c>
      <c r="E458" s="2">
        <v>4137.2299999999996</v>
      </c>
      <c r="F458" s="3">
        <f t="shared" si="56"/>
        <v>2.5075595545394069E-3</v>
      </c>
      <c r="G458" s="3">
        <f t="shared" si="57"/>
        <v>-5.9668096214805511E-3</v>
      </c>
      <c r="H458" s="3">
        <f t="shared" si="58"/>
        <v>-3.4722222222222099E-2</v>
      </c>
      <c r="I458" s="3">
        <f t="shared" si="59"/>
        <v>-1.183251050332379E-2</v>
      </c>
      <c r="J458" s="13">
        <v>-0.89</v>
      </c>
      <c r="K458" s="12">
        <v>0.12</v>
      </c>
      <c r="L458" s="13">
        <v>-0.04</v>
      </c>
      <c r="M458" s="21">
        <v>0.01</v>
      </c>
      <c r="N458" s="20">
        <f t="shared" si="60"/>
        <v>-7.4924404454605933E-3</v>
      </c>
      <c r="O458" s="20">
        <f t="shared" si="61"/>
        <v>-4.4722222222222101E-2</v>
      </c>
      <c r="P458" s="20">
        <f t="shared" si="62"/>
        <v>-1.5966809621480553E-2</v>
      </c>
      <c r="Q458" s="20">
        <f t="shared" si="63"/>
        <v>-2.1832510503323792E-2</v>
      </c>
    </row>
    <row r="459" spans="1:17" x14ac:dyDescent="0.2">
      <c r="A459" s="1">
        <v>45226</v>
      </c>
      <c r="B459">
        <v>131.04</v>
      </c>
      <c r="C459">
        <v>52.79</v>
      </c>
      <c r="D459">
        <v>40.479999999999997</v>
      </c>
      <c r="E459" s="2">
        <v>4117.37</v>
      </c>
      <c r="F459" s="3">
        <f t="shared" si="56"/>
        <v>-3.5974398587508394E-2</v>
      </c>
      <c r="G459" s="3">
        <f t="shared" si="57"/>
        <v>-9.7542674920277905E-3</v>
      </c>
      <c r="H459" s="3">
        <f t="shared" si="58"/>
        <v>4.2173158025302637E-3</v>
      </c>
      <c r="I459" s="3">
        <f t="shared" si="59"/>
        <v>-4.8003132530701764E-3</v>
      </c>
      <c r="J459" s="13">
        <v>-0.83</v>
      </c>
      <c r="K459" s="13">
        <v>-0.47</v>
      </c>
      <c r="L459" s="11">
        <v>0.1</v>
      </c>
      <c r="M459" s="21">
        <v>0.01</v>
      </c>
      <c r="N459" s="20">
        <f t="shared" si="60"/>
        <v>-4.5974398587508396E-2</v>
      </c>
      <c r="O459" s="20">
        <f t="shared" si="61"/>
        <v>-5.7826841974697365E-3</v>
      </c>
      <c r="P459" s="20">
        <f t="shared" si="62"/>
        <v>-1.9754267492027792E-2</v>
      </c>
      <c r="Q459" s="20">
        <f t="shared" si="63"/>
        <v>-1.4800313253070177E-2</v>
      </c>
    </row>
    <row r="460" spans="1:17" x14ac:dyDescent="0.2">
      <c r="A460" s="1">
        <v>45229</v>
      </c>
      <c r="B460">
        <v>132.71</v>
      </c>
      <c r="C460">
        <v>53.66</v>
      </c>
      <c r="D460">
        <v>41.14</v>
      </c>
      <c r="E460" s="2">
        <v>4166.82</v>
      </c>
      <c r="F460" s="3">
        <f t="shared" si="56"/>
        <v>1.2744200244200421E-2</v>
      </c>
      <c r="G460" s="3">
        <f t="shared" si="57"/>
        <v>1.6480394014017685E-2</v>
      </c>
      <c r="H460" s="3">
        <f t="shared" si="58"/>
        <v>1.630434782608714E-2</v>
      </c>
      <c r="I460" s="3">
        <f t="shared" si="59"/>
        <v>1.2010093822027113E-2</v>
      </c>
      <c r="J460" s="12">
        <v>0.12</v>
      </c>
      <c r="K460" s="12">
        <v>0.38</v>
      </c>
      <c r="L460" s="12">
        <v>0.28999999999999998</v>
      </c>
      <c r="M460" s="21">
        <v>0.01</v>
      </c>
      <c r="N460" s="20">
        <f t="shared" si="60"/>
        <v>2.7442002442004208E-3</v>
      </c>
      <c r="O460" s="20">
        <f t="shared" si="61"/>
        <v>6.3043478260871397E-3</v>
      </c>
      <c r="P460" s="20">
        <f t="shared" si="62"/>
        <v>6.480394014017685E-3</v>
      </c>
      <c r="Q460" s="20">
        <f t="shared" si="63"/>
        <v>2.0100938220271123E-3</v>
      </c>
    </row>
    <row r="461" spans="1:17" x14ac:dyDescent="0.2">
      <c r="A461" s="1">
        <v>45230</v>
      </c>
      <c r="B461">
        <v>134.29</v>
      </c>
      <c r="C461">
        <v>53.98</v>
      </c>
      <c r="D461">
        <v>40.76</v>
      </c>
      <c r="E461" s="2">
        <v>4193.8</v>
      </c>
      <c r="F461" s="3">
        <f t="shared" si="56"/>
        <v>1.190565895561746E-2</v>
      </c>
      <c r="G461" s="3">
        <f t="shared" si="57"/>
        <v>5.9634737234439683E-3</v>
      </c>
      <c r="H461" s="3">
        <f t="shared" si="58"/>
        <v>-9.2367525522606408E-3</v>
      </c>
      <c r="I461" s="3">
        <f t="shared" si="59"/>
        <v>6.4749617214088229E-3</v>
      </c>
      <c r="J461" s="11">
        <v>0.5</v>
      </c>
      <c r="K461" s="11">
        <v>0.2</v>
      </c>
      <c r="L461" s="13">
        <v>-0.11</v>
      </c>
      <c r="M461" s="21">
        <v>0.01</v>
      </c>
      <c r="N461" s="20">
        <f t="shared" si="60"/>
        <v>1.9056589556174595E-3</v>
      </c>
      <c r="O461" s="20">
        <f t="shared" si="61"/>
        <v>-1.9236752552260643E-2</v>
      </c>
      <c r="P461" s="20">
        <f t="shared" si="62"/>
        <v>-4.0365262765560319E-3</v>
      </c>
      <c r="Q461" s="20">
        <f t="shared" si="63"/>
        <v>-3.5250382785911773E-3</v>
      </c>
    </row>
    <row r="462" spans="1:17" x14ac:dyDescent="0.2">
      <c r="A462" s="1">
        <v>45231</v>
      </c>
      <c r="B462">
        <v>134.18</v>
      </c>
      <c r="C462">
        <v>53.94</v>
      </c>
      <c r="D462">
        <v>42.31</v>
      </c>
      <c r="E462" s="2">
        <v>4237.8599999999997</v>
      </c>
      <c r="F462" s="3">
        <f t="shared" si="56"/>
        <v>-8.1912279395324195E-4</v>
      </c>
      <c r="G462" s="3">
        <f t="shared" si="57"/>
        <v>-7.4101519081137823E-4</v>
      </c>
      <c r="H462" s="3">
        <f t="shared" si="58"/>
        <v>3.8027477919529096E-2</v>
      </c>
      <c r="I462" s="3">
        <f t="shared" si="59"/>
        <v>1.0505985025513809E-2</v>
      </c>
      <c r="J462" s="12">
        <v>0.61</v>
      </c>
      <c r="K462" s="12">
        <v>0.27</v>
      </c>
      <c r="L462" s="12">
        <v>0.11</v>
      </c>
      <c r="M462" s="21">
        <v>0.01</v>
      </c>
      <c r="N462" s="20">
        <f t="shared" si="60"/>
        <v>-1.0819122793953242E-2</v>
      </c>
      <c r="O462" s="20">
        <f t="shared" si="61"/>
        <v>2.8027477919529094E-2</v>
      </c>
      <c r="P462" s="20">
        <f t="shared" si="62"/>
        <v>-1.0741015190811378E-2</v>
      </c>
      <c r="Q462" s="20">
        <f t="shared" si="63"/>
        <v>5.0598502551380854E-4</v>
      </c>
    </row>
    <row r="463" spans="1:17" x14ac:dyDescent="0.2">
      <c r="A463" s="1">
        <v>45232</v>
      </c>
      <c r="B463">
        <v>136.57</v>
      </c>
      <c r="C463">
        <v>54.56</v>
      </c>
      <c r="D463">
        <v>43.49</v>
      </c>
      <c r="E463" s="2">
        <v>4317.78</v>
      </c>
      <c r="F463" s="3">
        <f t="shared" si="56"/>
        <v>1.7811894470114664E-2</v>
      </c>
      <c r="G463" s="3">
        <f t="shared" si="57"/>
        <v>1.1494252873563315E-2</v>
      </c>
      <c r="H463" s="3">
        <f t="shared" si="58"/>
        <v>2.7889387851571801E-2</v>
      </c>
      <c r="I463" s="3">
        <f t="shared" si="59"/>
        <v>1.8858574846738696E-2</v>
      </c>
      <c r="J463" s="13">
        <v>-0.67</v>
      </c>
      <c r="K463" s="12">
        <v>0.02</v>
      </c>
      <c r="L463" s="13">
        <v>-0.01</v>
      </c>
      <c r="M463" s="21">
        <v>0.01</v>
      </c>
      <c r="N463" s="20">
        <f t="shared" si="60"/>
        <v>7.811894470114664E-3</v>
      </c>
      <c r="O463" s="20">
        <f t="shared" si="61"/>
        <v>1.7889387851571799E-2</v>
      </c>
      <c r="P463" s="20">
        <f t="shared" si="62"/>
        <v>1.4942528735633152E-3</v>
      </c>
      <c r="Q463" s="20">
        <f t="shared" si="63"/>
        <v>8.8585748467386958E-3</v>
      </c>
    </row>
    <row r="464" spans="1:17" x14ac:dyDescent="0.2">
      <c r="A464" s="1">
        <v>45233</v>
      </c>
      <c r="B464">
        <v>138.1</v>
      </c>
      <c r="C464">
        <v>54.22</v>
      </c>
      <c r="D464">
        <v>44.98</v>
      </c>
      <c r="E464" s="2">
        <v>4358.34</v>
      </c>
      <c r="F464" s="3">
        <f t="shared" si="56"/>
        <v>1.1203046056967203E-2</v>
      </c>
      <c r="G464" s="3">
        <f t="shared" si="57"/>
        <v>-6.2316715542523049E-3</v>
      </c>
      <c r="H464" s="3">
        <f t="shared" si="58"/>
        <v>3.4260749597608608E-2</v>
      </c>
      <c r="I464" s="3">
        <f t="shared" si="59"/>
        <v>9.3937162152772924E-3</v>
      </c>
      <c r="J464" s="13">
        <v>-0.89</v>
      </c>
      <c r="K464" s="14">
        <v>-0.5</v>
      </c>
      <c r="L464" s="13">
        <v>-0.38</v>
      </c>
      <c r="M464" s="21">
        <v>0.01</v>
      </c>
      <c r="N464" s="20">
        <f t="shared" si="60"/>
        <v>1.2030460569672028E-3</v>
      </c>
      <c r="O464" s="20">
        <f t="shared" si="61"/>
        <v>2.4260749597608607E-2</v>
      </c>
      <c r="P464" s="20">
        <f t="shared" si="62"/>
        <v>-1.6231671554252307E-2</v>
      </c>
      <c r="Q464" s="20">
        <f t="shared" si="63"/>
        <v>-6.0628378472270782E-4</v>
      </c>
    </row>
    <row r="465" spans="1:17" x14ac:dyDescent="0.2">
      <c r="A465" s="1">
        <v>45236</v>
      </c>
      <c r="B465">
        <v>139.13999999999999</v>
      </c>
      <c r="C465">
        <v>54.44</v>
      </c>
      <c r="D465">
        <v>45.73</v>
      </c>
      <c r="E465" s="2">
        <v>4365.9799999999996</v>
      </c>
      <c r="F465" s="3">
        <f t="shared" si="56"/>
        <v>7.5307748008688336E-3</v>
      </c>
      <c r="G465" s="3">
        <f t="shared" si="57"/>
        <v>4.0575433419403062E-3</v>
      </c>
      <c r="H465" s="3">
        <f t="shared" si="58"/>
        <v>1.6674077367718976E-2</v>
      </c>
      <c r="I465" s="3">
        <f t="shared" si="59"/>
        <v>1.7529609897344312E-3</v>
      </c>
      <c r="J465" s="12">
        <v>0.17</v>
      </c>
      <c r="K465" s="12">
        <v>0.31</v>
      </c>
      <c r="L465" s="12">
        <v>0.41</v>
      </c>
      <c r="M465" s="21">
        <v>0.01</v>
      </c>
      <c r="N465" s="20">
        <f t="shared" si="60"/>
        <v>-2.4692251991311667E-3</v>
      </c>
      <c r="O465" s="20">
        <f t="shared" si="61"/>
        <v>6.6740773677189755E-3</v>
      </c>
      <c r="P465" s="20">
        <f t="shared" si="62"/>
        <v>-5.942456658059694E-3</v>
      </c>
      <c r="Q465" s="20">
        <f t="shared" si="63"/>
        <v>-8.2470390102655691E-3</v>
      </c>
    </row>
    <row r="466" spans="1:17" x14ac:dyDescent="0.2">
      <c r="A466" s="1">
        <v>45237</v>
      </c>
      <c r="B466">
        <v>139.07</v>
      </c>
      <c r="C466">
        <v>54.64</v>
      </c>
      <c r="D466">
        <v>45.93</v>
      </c>
      <c r="E466" s="2">
        <v>4378.38</v>
      </c>
      <c r="F466" s="3">
        <f t="shared" si="56"/>
        <v>-5.0309041253404629E-4</v>
      </c>
      <c r="G466" s="3">
        <f t="shared" si="57"/>
        <v>3.6737692872887973E-3</v>
      </c>
      <c r="H466" s="3">
        <f t="shared" si="58"/>
        <v>4.3734966105402062E-3</v>
      </c>
      <c r="I466" s="3">
        <f t="shared" si="59"/>
        <v>2.8401412741241305E-3</v>
      </c>
      <c r="J466" s="13">
        <v>-0.31</v>
      </c>
      <c r="K466" s="13">
        <v>-0.34</v>
      </c>
      <c r="L466" s="13">
        <v>-0.13</v>
      </c>
      <c r="M466" s="21">
        <v>0.01</v>
      </c>
      <c r="N466" s="20">
        <f t="shared" si="60"/>
        <v>-1.0503090412534047E-2</v>
      </c>
      <c r="O466" s="20">
        <f t="shared" si="61"/>
        <v>-5.626503389459794E-3</v>
      </c>
      <c r="P466" s="20">
        <f t="shared" si="62"/>
        <v>-6.3262307127112029E-3</v>
      </c>
      <c r="Q466" s="20">
        <f t="shared" si="63"/>
        <v>-7.1598587258758697E-3</v>
      </c>
    </row>
    <row r="467" spans="1:17" x14ac:dyDescent="0.2">
      <c r="A467" s="1">
        <v>45238</v>
      </c>
      <c r="B467">
        <v>139.76</v>
      </c>
      <c r="C467">
        <v>54.56</v>
      </c>
      <c r="D467">
        <v>46.55</v>
      </c>
      <c r="E467" s="2">
        <v>4382.78</v>
      </c>
      <c r="F467" s="3">
        <f t="shared" si="56"/>
        <v>4.9615301646652732E-3</v>
      </c>
      <c r="G467" s="3">
        <f t="shared" si="57"/>
        <v>-1.4641288433381305E-3</v>
      </c>
      <c r="H467" s="3">
        <f t="shared" si="58"/>
        <v>1.3498802525582443E-2</v>
      </c>
      <c r="I467" s="3">
        <f t="shared" si="59"/>
        <v>1.0049378994057001E-3</v>
      </c>
      <c r="J467" s="12">
        <v>0.56999999999999995</v>
      </c>
      <c r="K467" s="12">
        <v>0.23</v>
      </c>
      <c r="L467" s="13">
        <v>-0.11</v>
      </c>
      <c r="M467" s="21">
        <v>0.01</v>
      </c>
      <c r="N467" s="20">
        <f t="shared" si="60"/>
        <v>-5.038469835334727E-3</v>
      </c>
      <c r="O467" s="20">
        <f t="shared" si="61"/>
        <v>3.4988025255824427E-3</v>
      </c>
      <c r="P467" s="20">
        <f t="shared" si="62"/>
        <v>-1.1464128843338131E-2</v>
      </c>
      <c r="Q467" s="20">
        <f t="shared" si="63"/>
        <v>-8.9950621005943001E-3</v>
      </c>
    </row>
    <row r="468" spans="1:17" x14ac:dyDescent="0.2">
      <c r="A468" s="1">
        <v>45239</v>
      </c>
      <c r="B468">
        <v>139.34</v>
      </c>
      <c r="C468">
        <v>54.15</v>
      </c>
      <c r="D468">
        <v>46.93</v>
      </c>
      <c r="E468" s="2">
        <v>4347.3500000000004</v>
      </c>
      <c r="F468" s="3">
        <f t="shared" si="56"/>
        <v>-3.0051516886089313E-3</v>
      </c>
      <c r="G468" s="3">
        <f t="shared" si="57"/>
        <v>-7.5146627565982893E-3</v>
      </c>
      <c r="H468" s="3">
        <f t="shared" si="58"/>
        <v>8.1632653061225469E-3</v>
      </c>
      <c r="I468" s="3">
        <f t="shared" si="59"/>
        <v>-8.0839102122395312E-3</v>
      </c>
      <c r="J468" s="12">
        <v>0.56999999999999995</v>
      </c>
      <c r="K468" s="12">
        <v>0.14000000000000001</v>
      </c>
      <c r="L468" s="13">
        <v>-0.06</v>
      </c>
      <c r="M468" s="21">
        <v>0.01</v>
      </c>
      <c r="N468" s="20">
        <f t="shared" si="60"/>
        <v>-1.3005151688608932E-2</v>
      </c>
      <c r="O468" s="20">
        <f t="shared" si="61"/>
        <v>-1.8367346938774533E-3</v>
      </c>
      <c r="P468" s="20">
        <f t="shared" si="62"/>
        <v>-1.7514662756598291E-2</v>
      </c>
      <c r="Q468" s="20">
        <f t="shared" si="63"/>
        <v>-1.8083910212239533E-2</v>
      </c>
    </row>
    <row r="469" spans="1:17" x14ac:dyDescent="0.2">
      <c r="A469" s="1">
        <v>45240</v>
      </c>
      <c r="B469">
        <v>141.41</v>
      </c>
      <c r="C469">
        <v>54.2</v>
      </c>
      <c r="D469">
        <v>48.31</v>
      </c>
      <c r="E469" s="2">
        <v>4415.24</v>
      </c>
      <c r="F469" s="3">
        <f t="shared" si="56"/>
        <v>1.4855748528778578E-2</v>
      </c>
      <c r="G469" s="3">
        <f t="shared" si="57"/>
        <v>9.2336103416434945E-4</v>
      </c>
      <c r="H469" s="3">
        <f t="shared" si="58"/>
        <v>2.9405497549541915E-2</v>
      </c>
      <c r="I469" s="3">
        <f t="shared" si="59"/>
        <v>1.5616409996894509E-2</v>
      </c>
      <c r="J469" s="12">
        <v>0.21</v>
      </c>
      <c r="K469" s="12">
        <v>0.43</v>
      </c>
      <c r="L469" s="14">
        <v>-0.4</v>
      </c>
      <c r="M469" s="21">
        <v>0.01</v>
      </c>
      <c r="N469" s="20">
        <f t="shared" si="60"/>
        <v>4.8557485287785782E-3</v>
      </c>
      <c r="O469" s="20">
        <f t="shared" si="61"/>
        <v>1.9405497549541913E-2</v>
      </c>
      <c r="P469" s="20">
        <f t="shared" si="62"/>
        <v>-9.0766389658356508E-3</v>
      </c>
      <c r="Q469" s="20">
        <f t="shared" si="63"/>
        <v>5.6164099968945089E-3</v>
      </c>
    </row>
    <row r="470" spans="1:17" x14ac:dyDescent="0.2">
      <c r="A470" s="1">
        <v>45243</v>
      </c>
      <c r="B470">
        <v>140.78</v>
      </c>
      <c r="C470">
        <v>54.4</v>
      </c>
      <c r="D470">
        <v>48.6</v>
      </c>
      <c r="E470" s="2">
        <v>4411.55</v>
      </c>
      <c r="F470" s="3">
        <f t="shared" si="56"/>
        <v>-4.4551304716781148E-3</v>
      </c>
      <c r="G470" s="3">
        <f t="shared" si="57"/>
        <v>3.6900369003689537E-3</v>
      </c>
      <c r="H470" s="3">
        <f t="shared" si="58"/>
        <v>6.0028979507347202E-3</v>
      </c>
      <c r="I470" s="3">
        <f t="shared" si="59"/>
        <v>-8.3574165843747217E-4</v>
      </c>
      <c r="J470" s="12">
        <v>0.61</v>
      </c>
      <c r="K470" s="12">
        <v>0.16</v>
      </c>
      <c r="L470" s="13">
        <v>-0.08</v>
      </c>
      <c r="M470" s="21">
        <v>0.01</v>
      </c>
      <c r="N470" s="20">
        <f t="shared" si="60"/>
        <v>-1.4455130471678115E-2</v>
      </c>
      <c r="O470" s="20">
        <f t="shared" si="61"/>
        <v>-3.99710204926528E-3</v>
      </c>
      <c r="P470" s="20">
        <f t="shared" si="62"/>
        <v>-6.3099630996310465E-3</v>
      </c>
      <c r="Q470" s="20">
        <f t="shared" si="63"/>
        <v>-1.0835741658437472E-2</v>
      </c>
    </row>
    <row r="471" spans="1:17" x14ac:dyDescent="0.2">
      <c r="A471" s="1">
        <v>45244</v>
      </c>
      <c r="B471">
        <v>143.35</v>
      </c>
      <c r="C471">
        <v>54.57</v>
      </c>
      <c r="D471">
        <v>49.63</v>
      </c>
      <c r="E471" s="2">
        <v>4495.7</v>
      </c>
      <c r="F471" s="3">
        <f t="shared" si="56"/>
        <v>1.8255434010512772E-2</v>
      </c>
      <c r="G471" s="3">
        <f t="shared" si="57"/>
        <v>3.1250000000000444E-3</v>
      </c>
      <c r="H471" s="3">
        <f t="shared" si="58"/>
        <v>2.1193415637860147E-2</v>
      </c>
      <c r="I471" s="3">
        <f t="shared" si="59"/>
        <v>1.9074928313177919E-2</v>
      </c>
      <c r="J471" s="12">
        <v>0.27</v>
      </c>
      <c r="K471" s="12">
        <v>0.46</v>
      </c>
      <c r="L471" s="13">
        <v>-0.32</v>
      </c>
      <c r="M471" s="21">
        <v>0.01</v>
      </c>
      <c r="N471" s="20">
        <f t="shared" si="60"/>
        <v>8.2554340105127719E-3</v>
      </c>
      <c r="O471" s="20">
        <f t="shared" si="61"/>
        <v>1.1193415637860147E-2</v>
      </c>
      <c r="P471" s="20">
        <f t="shared" si="62"/>
        <v>-6.8749999999999558E-3</v>
      </c>
      <c r="Q471" s="20">
        <f t="shared" si="63"/>
        <v>9.0749283131779188E-3</v>
      </c>
    </row>
    <row r="472" spans="1:17" x14ac:dyDescent="0.2">
      <c r="A472" s="1">
        <v>45245</v>
      </c>
      <c r="B472">
        <v>144.61000000000001</v>
      </c>
      <c r="C472">
        <v>54.67</v>
      </c>
      <c r="D472">
        <v>48.87</v>
      </c>
      <c r="E472" s="2">
        <v>4502.88</v>
      </c>
      <c r="F472" s="3">
        <f t="shared" si="56"/>
        <v>8.7896756191141456E-3</v>
      </c>
      <c r="G472" s="3">
        <f t="shared" si="57"/>
        <v>1.8325087044164245E-3</v>
      </c>
      <c r="H472" s="3">
        <f t="shared" si="58"/>
        <v>-1.5313318557324318E-2</v>
      </c>
      <c r="I472" s="3">
        <f t="shared" si="59"/>
        <v>1.597081655804411E-3</v>
      </c>
      <c r="J472" s="17">
        <v>-1.04</v>
      </c>
      <c r="K472" s="13">
        <v>-0.31</v>
      </c>
      <c r="L472" s="13">
        <v>-0.34</v>
      </c>
      <c r="M472" s="21">
        <v>0.01</v>
      </c>
      <c r="N472" s="20">
        <f t="shared" si="60"/>
        <v>-1.2103243808858546E-3</v>
      </c>
      <c r="O472" s="20">
        <f t="shared" si="61"/>
        <v>-2.531331855732432E-2</v>
      </c>
      <c r="P472" s="20">
        <f t="shared" si="62"/>
        <v>-8.1674912955835757E-3</v>
      </c>
      <c r="Q472" s="20">
        <f t="shared" si="63"/>
        <v>-8.4029183441955892E-3</v>
      </c>
    </row>
    <row r="473" spans="1:17" x14ac:dyDescent="0.2">
      <c r="A473" s="1">
        <v>45246</v>
      </c>
      <c r="B473">
        <v>146.26</v>
      </c>
      <c r="C473">
        <v>54.62</v>
      </c>
      <c r="D473">
        <v>49.46</v>
      </c>
      <c r="E473" s="2">
        <v>4508.24</v>
      </c>
      <c r="F473" s="3">
        <f t="shared" si="56"/>
        <v>1.1409999308484631E-2</v>
      </c>
      <c r="G473" s="3">
        <f t="shared" si="57"/>
        <v>-9.1457837936714803E-4</v>
      </c>
      <c r="H473" s="3">
        <f t="shared" si="58"/>
        <v>1.2072846326990128E-2</v>
      </c>
      <c r="I473" s="3">
        <f t="shared" si="59"/>
        <v>1.1903492875668942E-3</v>
      </c>
      <c r="J473" s="12">
        <v>0.52</v>
      </c>
      <c r="K473" s="12">
        <v>0.77</v>
      </c>
      <c r="L473" s="13">
        <v>-0.22</v>
      </c>
      <c r="M473" s="21">
        <v>0.01</v>
      </c>
      <c r="N473" s="20">
        <f t="shared" si="60"/>
        <v>1.4099993084846305E-3</v>
      </c>
      <c r="O473" s="20">
        <f t="shared" si="61"/>
        <v>2.0728463269901274E-3</v>
      </c>
      <c r="P473" s="20">
        <f t="shared" si="62"/>
        <v>-1.0914578379367148E-2</v>
      </c>
      <c r="Q473" s="20">
        <f t="shared" si="63"/>
        <v>-8.809650712433106E-3</v>
      </c>
    </row>
    <row r="474" spans="1:17" x14ac:dyDescent="0.2">
      <c r="A474" s="1">
        <v>45247</v>
      </c>
      <c r="B474">
        <v>147.58000000000001</v>
      </c>
      <c r="C474">
        <v>54.72</v>
      </c>
      <c r="D474">
        <v>49.28</v>
      </c>
      <c r="E474" s="2">
        <v>4514.0200000000004</v>
      </c>
      <c r="F474" s="3">
        <f t="shared" si="56"/>
        <v>9.0250239299878299E-3</v>
      </c>
      <c r="G474" s="3">
        <f t="shared" si="57"/>
        <v>1.8308311973636027E-3</v>
      </c>
      <c r="H474" s="3">
        <f t="shared" si="58"/>
        <v>-3.6393044884754921E-3</v>
      </c>
      <c r="I474" s="3">
        <f t="shared" si="59"/>
        <v>1.2820967827800178E-3</v>
      </c>
      <c r="J474" s="12">
        <v>0.27</v>
      </c>
      <c r="K474" s="14">
        <v>-0.1</v>
      </c>
      <c r="L474" s="13">
        <v>-0.12</v>
      </c>
      <c r="M474" s="21">
        <v>0.01</v>
      </c>
      <c r="N474" s="20">
        <f t="shared" si="60"/>
        <v>-9.7497607001217033E-4</v>
      </c>
      <c r="O474" s="20">
        <f t="shared" si="61"/>
        <v>-1.3639304488475492E-2</v>
      </c>
      <c r="P474" s="20">
        <f t="shared" si="62"/>
        <v>-8.1691688026363975E-3</v>
      </c>
      <c r="Q474" s="20">
        <f t="shared" si="63"/>
        <v>-8.7179032172199824E-3</v>
      </c>
    </row>
    <row r="475" spans="1:17" x14ac:dyDescent="0.2">
      <c r="A475" s="1">
        <v>45250</v>
      </c>
      <c r="B475">
        <v>148.03</v>
      </c>
      <c r="C475">
        <v>54.85</v>
      </c>
      <c r="D475">
        <v>50.39</v>
      </c>
      <c r="E475" s="2">
        <v>4547.38</v>
      </c>
      <c r="F475" s="3">
        <f t="shared" si="56"/>
        <v>3.0491936576770851E-3</v>
      </c>
      <c r="G475" s="3">
        <f t="shared" si="57"/>
        <v>2.3757309941521143E-3</v>
      </c>
      <c r="H475" s="3">
        <f t="shared" si="58"/>
        <v>2.2524350649350655E-2</v>
      </c>
      <c r="I475" s="3">
        <f t="shared" si="59"/>
        <v>7.3903084168878141E-3</v>
      </c>
      <c r="J475" s="14">
        <v>-0.5</v>
      </c>
      <c r="K475" s="12">
        <v>0.46</v>
      </c>
      <c r="L475" s="12">
        <v>0.16</v>
      </c>
      <c r="M475" s="21">
        <v>0.01</v>
      </c>
      <c r="N475" s="20">
        <f t="shared" si="60"/>
        <v>-6.9508063423229152E-3</v>
      </c>
      <c r="O475" s="20">
        <f t="shared" si="61"/>
        <v>1.2524350649350655E-2</v>
      </c>
      <c r="P475" s="20">
        <f t="shared" si="62"/>
        <v>-7.6242690058478859E-3</v>
      </c>
      <c r="Q475" s="20">
        <f t="shared" si="63"/>
        <v>-2.6096915831121861E-3</v>
      </c>
    </row>
    <row r="476" spans="1:17" x14ac:dyDescent="0.2">
      <c r="A476" s="1">
        <v>45251</v>
      </c>
      <c r="B476">
        <v>147.72</v>
      </c>
      <c r="C476">
        <v>55.46</v>
      </c>
      <c r="D476">
        <v>49.92</v>
      </c>
      <c r="E476" s="2">
        <v>4538.1899999999996</v>
      </c>
      <c r="F476" s="3">
        <f t="shared" si="56"/>
        <v>-2.0941701006552682E-3</v>
      </c>
      <c r="G476" s="3">
        <f t="shared" si="57"/>
        <v>1.1121239744758427E-2</v>
      </c>
      <c r="H476" s="3">
        <f t="shared" si="58"/>
        <v>-9.3272474697360108E-3</v>
      </c>
      <c r="I476" s="3">
        <f t="shared" si="59"/>
        <v>-2.020943928152108E-3</v>
      </c>
      <c r="J476" s="13">
        <v>-0.42</v>
      </c>
      <c r="K476" s="13">
        <v>-0.39</v>
      </c>
      <c r="L476" s="13">
        <v>-0.28000000000000003</v>
      </c>
      <c r="M476" s="21">
        <v>0.01</v>
      </c>
      <c r="N476" s="20">
        <f t="shared" si="60"/>
        <v>-1.2094170100655268E-2</v>
      </c>
      <c r="O476" s="20">
        <f t="shared" si="61"/>
        <v>-1.9327247469736013E-2</v>
      </c>
      <c r="P476" s="20">
        <f t="shared" si="62"/>
        <v>1.1212397447584264E-3</v>
      </c>
      <c r="Q476" s="20">
        <f t="shared" si="63"/>
        <v>-1.2020943928152108E-2</v>
      </c>
    </row>
    <row r="477" spans="1:17" x14ac:dyDescent="0.2">
      <c r="A477" s="1">
        <v>45252</v>
      </c>
      <c r="B477">
        <v>148.07</v>
      </c>
      <c r="C477">
        <v>55.83</v>
      </c>
      <c r="D477">
        <v>48.69</v>
      </c>
      <c r="E477" s="2">
        <v>4556.62</v>
      </c>
      <c r="F477" s="3">
        <f t="shared" si="56"/>
        <v>2.3693474140265014E-3</v>
      </c>
      <c r="G477" s="3">
        <f t="shared" si="57"/>
        <v>6.6714749368914639E-3</v>
      </c>
      <c r="H477" s="3">
        <f t="shared" si="58"/>
        <v>-2.4639423076923128E-2</v>
      </c>
      <c r="I477" s="3">
        <f t="shared" si="59"/>
        <v>4.0610904347329058E-3</v>
      </c>
      <c r="J477" s="12">
        <v>0.32</v>
      </c>
      <c r="K477" s="11">
        <v>0.6</v>
      </c>
      <c r="L477" s="12">
        <v>0.33</v>
      </c>
      <c r="M477" s="21">
        <v>0.01</v>
      </c>
      <c r="N477" s="20">
        <f t="shared" si="60"/>
        <v>-7.6306525859734988E-3</v>
      </c>
      <c r="O477" s="20">
        <f t="shared" si="61"/>
        <v>-3.463942307692313E-2</v>
      </c>
      <c r="P477" s="20">
        <f t="shared" si="62"/>
        <v>-3.3285250631085363E-3</v>
      </c>
      <c r="Q477" s="20">
        <f t="shared" si="63"/>
        <v>-5.9389095652670944E-3</v>
      </c>
    </row>
    <row r="478" spans="1:17" x14ac:dyDescent="0.2">
      <c r="A478" s="1">
        <v>45254</v>
      </c>
      <c r="B478">
        <v>148.28</v>
      </c>
      <c r="C478">
        <v>55.97</v>
      </c>
      <c r="D478">
        <v>47.75</v>
      </c>
      <c r="E478" s="2">
        <v>4559.34</v>
      </c>
      <c r="F478" s="3">
        <f t="shared" si="56"/>
        <v>1.4182481258864232E-3</v>
      </c>
      <c r="G478" s="3">
        <f t="shared" si="57"/>
        <v>2.5076123947698203E-3</v>
      </c>
      <c r="H478" s="3">
        <f t="shared" si="58"/>
        <v>-1.9305812281782631E-2</v>
      </c>
      <c r="I478" s="3">
        <f t="shared" si="59"/>
        <v>5.9693369207880487E-4</v>
      </c>
      <c r="J478" s="13">
        <v>-0.25</v>
      </c>
      <c r="K478" s="12">
        <v>0.52</v>
      </c>
      <c r="L478" s="13">
        <v>-0.65</v>
      </c>
      <c r="M478" s="20">
        <v>1.4E-2</v>
      </c>
      <c r="N478" s="20">
        <f t="shared" si="60"/>
        <v>-1.2581751874113577E-2</v>
      </c>
      <c r="O478" s="20">
        <f t="shared" si="61"/>
        <v>-3.3305812281782629E-2</v>
      </c>
      <c r="P478" s="20">
        <f t="shared" si="62"/>
        <v>-1.149238760523018E-2</v>
      </c>
      <c r="Q478" s="20">
        <f t="shared" si="63"/>
        <v>-1.3403066307921195E-2</v>
      </c>
    </row>
    <row r="479" spans="1:17" x14ac:dyDescent="0.2">
      <c r="A479" s="1">
        <v>45257</v>
      </c>
      <c r="B479">
        <v>147.94</v>
      </c>
      <c r="C479">
        <v>55.87</v>
      </c>
      <c r="D479">
        <v>48.22</v>
      </c>
      <c r="E479" s="2">
        <v>4550.43</v>
      </c>
      <c r="F479" s="3">
        <f t="shared" si="56"/>
        <v>-2.2929592662530585E-3</v>
      </c>
      <c r="G479" s="3">
        <f t="shared" si="57"/>
        <v>-1.7866714311238763E-3</v>
      </c>
      <c r="H479" s="3">
        <f t="shared" si="58"/>
        <v>9.842931937172672E-3</v>
      </c>
      <c r="I479" s="3">
        <f t="shared" si="59"/>
        <v>-1.9542302175314941E-3</v>
      </c>
      <c r="J479" s="12">
        <v>0.44</v>
      </c>
      <c r="K479" s="12">
        <v>0.13</v>
      </c>
      <c r="L479" s="12">
        <v>0.18</v>
      </c>
      <c r="M479" s="20">
        <v>1.4E-2</v>
      </c>
      <c r="N479" s="20">
        <f t="shared" si="60"/>
        <v>-1.6292959266253057E-2</v>
      </c>
      <c r="O479" s="20">
        <f t="shared" si="61"/>
        <v>-4.1570680628273283E-3</v>
      </c>
      <c r="P479" s="20">
        <f t="shared" si="62"/>
        <v>-1.5786671431123875E-2</v>
      </c>
      <c r="Q479" s="20">
        <f t="shared" si="63"/>
        <v>-1.5954230217531493E-2</v>
      </c>
    </row>
    <row r="480" spans="1:17" x14ac:dyDescent="0.2">
      <c r="A480" s="1">
        <v>45258</v>
      </c>
      <c r="B480">
        <v>148.28</v>
      </c>
      <c r="C480">
        <v>55.98</v>
      </c>
      <c r="D480">
        <v>47.8</v>
      </c>
      <c r="E480" s="2">
        <v>4554.8900000000003</v>
      </c>
      <c r="F480" s="3">
        <f t="shared" si="56"/>
        <v>2.2982290117614657E-3</v>
      </c>
      <c r="G480" s="3">
        <f t="shared" si="57"/>
        <v>1.9688562734920811E-3</v>
      </c>
      <c r="H480" s="3">
        <f t="shared" si="58"/>
        <v>-8.710078805474919E-3</v>
      </c>
      <c r="I480" s="3">
        <f t="shared" si="59"/>
        <v>9.801271528184774E-4</v>
      </c>
      <c r="J480" s="17">
        <v>-1.1399999999999999</v>
      </c>
      <c r="K480" s="13">
        <v>-0.47</v>
      </c>
      <c r="L480" s="13">
        <v>-0.44</v>
      </c>
      <c r="M480" s="20">
        <v>1.4E-2</v>
      </c>
      <c r="N480" s="20">
        <f t="shared" si="60"/>
        <v>-1.1701770988238535E-2</v>
      </c>
      <c r="O480" s="20">
        <f t="shared" si="61"/>
        <v>-2.2710078805474918E-2</v>
      </c>
      <c r="P480" s="20">
        <f t="shared" si="62"/>
        <v>-1.2031143726507919E-2</v>
      </c>
      <c r="Q480" s="20">
        <f t="shared" si="63"/>
        <v>-1.3019872847181523E-2</v>
      </c>
    </row>
    <row r="481" spans="1:17" x14ac:dyDescent="0.2">
      <c r="A481" s="1">
        <v>45259</v>
      </c>
      <c r="B481">
        <v>149.03</v>
      </c>
      <c r="C481">
        <v>55.65</v>
      </c>
      <c r="D481">
        <v>48.12</v>
      </c>
      <c r="E481" s="2">
        <v>4550.58</v>
      </c>
      <c r="F481" s="3">
        <f t="shared" si="56"/>
        <v>5.0579983814404983E-3</v>
      </c>
      <c r="G481" s="3">
        <f t="shared" si="57"/>
        <v>-5.8949624866023731E-3</v>
      </c>
      <c r="H481" s="3">
        <f t="shared" si="58"/>
        <v>6.6945606694561732E-3</v>
      </c>
      <c r="I481" s="3">
        <f t="shared" si="59"/>
        <v>-9.4623580371877569E-4</v>
      </c>
      <c r="J481" s="12">
        <v>0.05</v>
      </c>
      <c r="K481" s="13">
        <v>-0.45</v>
      </c>
      <c r="L481" s="12">
        <v>0.18</v>
      </c>
      <c r="M481" s="20">
        <v>1.4E-2</v>
      </c>
      <c r="N481" s="20">
        <f t="shared" si="60"/>
        <v>-8.942001618559502E-3</v>
      </c>
      <c r="O481" s="20">
        <f t="shared" si="61"/>
        <v>-7.3054393305438271E-3</v>
      </c>
      <c r="P481" s="20">
        <f t="shared" si="62"/>
        <v>-1.9894962486602372E-2</v>
      </c>
      <c r="Q481" s="20">
        <f t="shared" si="63"/>
        <v>-1.4946235803718776E-2</v>
      </c>
    </row>
    <row r="482" spans="1:17" x14ac:dyDescent="0.2">
      <c r="A482" s="1">
        <v>45260</v>
      </c>
      <c r="B482">
        <v>150.72999999999999</v>
      </c>
      <c r="C482">
        <v>56.29</v>
      </c>
      <c r="D482">
        <v>46.75</v>
      </c>
      <c r="E482" s="2">
        <v>4567.8</v>
      </c>
      <c r="F482" s="3">
        <f t="shared" si="56"/>
        <v>1.1407099241763419E-2</v>
      </c>
      <c r="G482" s="3">
        <f t="shared" si="57"/>
        <v>1.1500449236298227E-2</v>
      </c>
      <c r="H482" s="3">
        <f t="shared" si="58"/>
        <v>-2.8470490440565155E-2</v>
      </c>
      <c r="I482" s="3">
        <f t="shared" si="59"/>
        <v>3.7841330116161753E-3</v>
      </c>
      <c r="J482" s="11">
        <v>0.2</v>
      </c>
      <c r="K482" s="12">
        <v>0.33</v>
      </c>
      <c r="L482" s="12">
        <v>0.06</v>
      </c>
      <c r="M482" s="20">
        <v>1.4E-2</v>
      </c>
      <c r="N482" s="20">
        <f t="shared" si="60"/>
        <v>-2.5929007582365816E-3</v>
      </c>
      <c r="O482" s="20">
        <f t="shared" si="61"/>
        <v>-4.2470490440565153E-2</v>
      </c>
      <c r="P482" s="20">
        <f t="shared" si="62"/>
        <v>-2.4995507637017734E-3</v>
      </c>
      <c r="Q482" s="20">
        <f t="shared" si="63"/>
        <v>-1.0215866988383825E-2</v>
      </c>
    </row>
    <row r="483" spans="1:17" x14ac:dyDescent="0.2">
      <c r="A483" s="1">
        <v>45261</v>
      </c>
      <c r="B483">
        <v>151.46</v>
      </c>
      <c r="C483">
        <v>56.49</v>
      </c>
      <c r="D483">
        <v>46.74</v>
      </c>
      <c r="E483" s="2">
        <v>4594.63</v>
      </c>
      <c r="F483" s="3">
        <f t="shared" si="56"/>
        <v>4.8430969282824421E-3</v>
      </c>
      <c r="G483" s="3">
        <f t="shared" si="57"/>
        <v>3.5530289571861218E-3</v>
      </c>
      <c r="H483" s="3">
        <f t="shared" si="58"/>
        <v>-2.139037433154245E-4</v>
      </c>
      <c r="I483" s="3">
        <f t="shared" si="59"/>
        <v>5.873724769035471E-3</v>
      </c>
      <c r="J483" s="13">
        <v>-0.28000000000000003</v>
      </c>
      <c r="K483" s="13">
        <v>-0.26</v>
      </c>
      <c r="L483" s="13">
        <v>-0.67</v>
      </c>
      <c r="M483" s="20">
        <v>1.4E-2</v>
      </c>
      <c r="N483" s="20">
        <f t="shared" si="60"/>
        <v>-9.1569030717175582E-3</v>
      </c>
      <c r="O483" s="20">
        <f t="shared" si="61"/>
        <v>-1.4213903743315425E-2</v>
      </c>
      <c r="P483" s="20">
        <f t="shared" si="62"/>
        <v>-1.0446971042813879E-2</v>
      </c>
      <c r="Q483" s="20">
        <f t="shared" si="63"/>
        <v>-8.1262752309645293E-3</v>
      </c>
    </row>
    <row r="484" spans="1:17" x14ac:dyDescent="0.2">
      <c r="A484" s="1">
        <v>45264</v>
      </c>
      <c r="B484">
        <v>152.57</v>
      </c>
      <c r="C484">
        <v>56.42</v>
      </c>
      <c r="D484">
        <v>45.49</v>
      </c>
      <c r="E484" s="2">
        <v>4569.78</v>
      </c>
      <c r="F484" s="3">
        <f t="shared" si="56"/>
        <v>7.3286676350190483E-3</v>
      </c>
      <c r="G484" s="3">
        <f t="shared" si="57"/>
        <v>-1.2391573729864103E-3</v>
      </c>
      <c r="H484" s="3">
        <f t="shared" si="58"/>
        <v>-2.6743688489516471E-2</v>
      </c>
      <c r="I484" s="3">
        <f t="shared" si="59"/>
        <v>-5.4084877345945692E-3</v>
      </c>
      <c r="J484" s="12">
        <v>0.08</v>
      </c>
      <c r="K484" s="13">
        <v>-0.03</v>
      </c>
      <c r="L484" s="14">
        <v>-0.2</v>
      </c>
      <c r="M484" s="20">
        <v>1.4E-2</v>
      </c>
      <c r="N484" s="20">
        <f t="shared" si="60"/>
        <v>-6.671332364980952E-3</v>
      </c>
      <c r="O484" s="20">
        <f t="shared" si="61"/>
        <v>-4.0743688489516469E-2</v>
      </c>
      <c r="P484" s="20">
        <f t="shared" si="62"/>
        <v>-1.5239157372986411E-2</v>
      </c>
      <c r="Q484" s="20">
        <f t="shared" si="63"/>
        <v>-1.9408487734594568E-2</v>
      </c>
    </row>
    <row r="485" spans="1:17" x14ac:dyDescent="0.2">
      <c r="A485" s="1">
        <v>45265</v>
      </c>
      <c r="B485">
        <v>152.55000000000001</v>
      </c>
      <c r="C485">
        <v>56.5</v>
      </c>
      <c r="D485">
        <v>46.55</v>
      </c>
      <c r="E485" s="2">
        <v>4567.18</v>
      </c>
      <c r="F485" s="3">
        <f t="shared" si="56"/>
        <v>-1.3108736973177493E-4</v>
      </c>
      <c r="G485" s="3">
        <f t="shared" si="57"/>
        <v>1.4179369018079147E-3</v>
      </c>
      <c r="H485" s="3">
        <f t="shared" si="58"/>
        <v>2.3301824576829944E-2</v>
      </c>
      <c r="I485" s="3">
        <f t="shared" si="59"/>
        <v>-5.6895517946142782E-4</v>
      </c>
      <c r="J485" s="12">
        <v>0.46</v>
      </c>
      <c r="K485" s="13">
        <v>-0.12</v>
      </c>
      <c r="L485" s="13">
        <v>-0.12</v>
      </c>
      <c r="M485" s="20">
        <v>1.4E-2</v>
      </c>
      <c r="N485" s="20">
        <f t="shared" si="60"/>
        <v>-1.4131087369731775E-2</v>
      </c>
      <c r="O485" s="20">
        <f t="shared" si="61"/>
        <v>9.3018245768299434E-3</v>
      </c>
      <c r="P485" s="20">
        <f t="shared" si="62"/>
        <v>-1.2582063098192086E-2</v>
      </c>
      <c r="Q485" s="20">
        <f t="shared" si="63"/>
        <v>-1.4568955179461428E-2</v>
      </c>
    </row>
    <row r="486" spans="1:17" x14ac:dyDescent="0.2">
      <c r="A486" s="1">
        <v>45266</v>
      </c>
      <c r="B486">
        <v>150.94999999999999</v>
      </c>
      <c r="C486">
        <v>56.45</v>
      </c>
      <c r="D486">
        <v>45.49</v>
      </c>
      <c r="E486" s="2">
        <v>4549.34</v>
      </c>
      <c r="F486" s="3">
        <f t="shared" si="56"/>
        <v>-1.0488364470665479E-2</v>
      </c>
      <c r="G486" s="3">
        <f t="shared" si="57"/>
        <v>-8.8495575221236855E-4</v>
      </c>
      <c r="H486" s="3">
        <f t="shared" si="58"/>
        <v>-2.2771213748657204E-2</v>
      </c>
      <c r="I486" s="3">
        <f t="shared" si="59"/>
        <v>-3.9061302598102365E-3</v>
      </c>
      <c r="J486" s="13">
        <v>-0.09</v>
      </c>
      <c r="K486" s="13">
        <v>-0.49</v>
      </c>
      <c r="L486" s="13">
        <v>-0.11</v>
      </c>
      <c r="M486" s="20">
        <v>1.4E-2</v>
      </c>
      <c r="N486" s="20">
        <f t="shared" si="60"/>
        <v>-2.4488364470665477E-2</v>
      </c>
      <c r="O486" s="20">
        <f t="shared" si="61"/>
        <v>-3.6771213748657203E-2</v>
      </c>
      <c r="P486" s="20">
        <f t="shared" si="62"/>
        <v>-1.4884955752212369E-2</v>
      </c>
      <c r="Q486" s="20">
        <f t="shared" si="63"/>
        <v>-1.7906130259810235E-2</v>
      </c>
    </row>
    <row r="487" spans="1:17" x14ac:dyDescent="0.2">
      <c r="A487" s="1">
        <v>45267</v>
      </c>
      <c r="B487">
        <v>151.41</v>
      </c>
      <c r="C487">
        <v>56.58</v>
      </c>
      <c r="D487">
        <v>46.58</v>
      </c>
      <c r="E487" s="2">
        <v>4585.59</v>
      </c>
      <c r="F487" s="3">
        <f t="shared" si="56"/>
        <v>3.0473666777079966E-3</v>
      </c>
      <c r="G487" s="3">
        <f t="shared" si="57"/>
        <v>2.3029229406552609E-3</v>
      </c>
      <c r="H487" s="3">
        <f t="shared" si="58"/>
        <v>2.3961310178061135E-2</v>
      </c>
      <c r="I487" s="3">
        <f t="shared" si="59"/>
        <v>7.9681887922204986E-3</v>
      </c>
      <c r="J487" s="13">
        <v>-0.02</v>
      </c>
      <c r="K487" s="11">
        <v>0.1</v>
      </c>
      <c r="L487" s="12">
        <v>0.54</v>
      </c>
      <c r="M487" s="20">
        <v>1.4E-2</v>
      </c>
      <c r="N487" s="20">
        <f t="shared" si="60"/>
        <v>-1.0952633322292004E-2</v>
      </c>
      <c r="O487" s="20">
        <f t="shared" si="61"/>
        <v>9.9613101780611345E-3</v>
      </c>
      <c r="P487" s="20">
        <f t="shared" si="62"/>
        <v>-1.1697077059344739E-2</v>
      </c>
      <c r="Q487" s="20">
        <f t="shared" si="63"/>
        <v>-6.0318112077795017E-3</v>
      </c>
    </row>
    <row r="488" spans="1:17" x14ac:dyDescent="0.2">
      <c r="A488" s="1">
        <v>45268</v>
      </c>
      <c r="B488">
        <v>153.08000000000001</v>
      </c>
      <c r="C488">
        <v>56.46</v>
      </c>
      <c r="D488">
        <v>47.49</v>
      </c>
      <c r="E488" s="2">
        <v>4604.37</v>
      </c>
      <c r="F488" s="3">
        <f t="shared" si="56"/>
        <v>1.1029654580278825E-2</v>
      </c>
      <c r="G488" s="3">
        <f t="shared" si="57"/>
        <v>-2.1208907741251393E-3</v>
      </c>
      <c r="H488" s="3">
        <f t="shared" si="58"/>
        <v>1.9536281665951227E-2</v>
      </c>
      <c r="I488" s="3">
        <f t="shared" si="59"/>
        <v>4.0954381006588214E-3</v>
      </c>
      <c r="J488" s="13">
        <v>-0.38</v>
      </c>
      <c r="K488" s="12">
        <v>0.57999999999999996</v>
      </c>
      <c r="L488" s="13">
        <v>-0.42</v>
      </c>
      <c r="M488" s="20">
        <v>1.4E-2</v>
      </c>
      <c r="N488" s="20">
        <f t="shared" si="60"/>
        <v>-2.9703454197211755E-3</v>
      </c>
      <c r="O488" s="20">
        <f t="shared" si="61"/>
        <v>5.536281665951227E-3</v>
      </c>
      <c r="P488" s="20">
        <f t="shared" si="62"/>
        <v>-1.6120890774125138E-2</v>
      </c>
      <c r="Q488" s="20">
        <f t="shared" si="63"/>
        <v>-9.9045618993411789E-3</v>
      </c>
    </row>
    <row r="489" spans="1:17" x14ac:dyDescent="0.2">
      <c r="A489" s="1">
        <v>45271</v>
      </c>
      <c r="B489">
        <v>153.63999999999999</v>
      </c>
      <c r="C489">
        <v>56.87</v>
      </c>
      <c r="D489">
        <v>46.61</v>
      </c>
      <c r="E489" s="2">
        <v>4622.4399999999996</v>
      </c>
      <c r="F489" s="3">
        <f t="shared" si="56"/>
        <v>3.6582179252677705E-3</v>
      </c>
      <c r="G489" s="3">
        <f t="shared" si="57"/>
        <v>7.2617782500885575E-3</v>
      </c>
      <c r="H489" s="3">
        <f t="shared" si="58"/>
        <v>-1.8530216887765905E-2</v>
      </c>
      <c r="I489" s="3">
        <f t="shared" si="59"/>
        <v>3.9245325636296791E-3</v>
      </c>
      <c r="J489" s="13">
        <v>-0.28000000000000003</v>
      </c>
      <c r="K489" s="13">
        <v>-0.53</v>
      </c>
      <c r="L489" s="13">
        <v>-0.04</v>
      </c>
      <c r="M489" s="20">
        <v>1.4E-2</v>
      </c>
      <c r="N489" s="20">
        <f t="shared" si="60"/>
        <v>-1.034178207473223E-2</v>
      </c>
      <c r="O489" s="20">
        <f t="shared" si="61"/>
        <v>-3.2530216887765903E-2</v>
      </c>
      <c r="P489" s="20">
        <f t="shared" si="62"/>
        <v>-6.7382217499114428E-3</v>
      </c>
      <c r="Q489" s="20">
        <f t="shared" si="63"/>
        <v>-1.0075467436370321E-2</v>
      </c>
    </row>
    <row r="490" spans="1:17" x14ac:dyDescent="0.2">
      <c r="A490" s="1">
        <v>45272</v>
      </c>
      <c r="B490">
        <v>155.02000000000001</v>
      </c>
      <c r="C490">
        <v>57.24</v>
      </c>
      <c r="D490">
        <v>47.64</v>
      </c>
      <c r="E490" s="2">
        <v>4643.7</v>
      </c>
      <c r="F490" s="3">
        <f t="shared" si="56"/>
        <v>8.9820359281438389E-3</v>
      </c>
      <c r="G490" s="3">
        <f t="shared" si="57"/>
        <v>6.5060664673817215E-3</v>
      </c>
      <c r="H490" s="3">
        <f t="shared" si="58"/>
        <v>2.2098262175498817E-2</v>
      </c>
      <c r="I490" s="3">
        <f t="shared" si="59"/>
        <v>4.599302532861449E-3</v>
      </c>
      <c r="J490" s="13">
        <v>-0.32</v>
      </c>
      <c r="K490" s="13">
        <v>-0.62</v>
      </c>
      <c r="L490" s="12">
        <v>0.08</v>
      </c>
      <c r="M490" s="20">
        <v>1.4E-2</v>
      </c>
      <c r="N490" s="20">
        <f t="shared" si="60"/>
        <v>-5.0179640718561614E-3</v>
      </c>
      <c r="O490" s="20">
        <f t="shared" si="61"/>
        <v>8.098262175498817E-3</v>
      </c>
      <c r="P490" s="20">
        <f t="shared" si="62"/>
        <v>-7.4939335326182788E-3</v>
      </c>
      <c r="Q490" s="20">
        <f t="shared" si="63"/>
        <v>-9.4006974671385513E-3</v>
      </c>
    </row>
    <row r="491" spans="1:17" x14ac:dyDescent="0.2">
      <c r="A491" s="1">
        <v>45273</v>
      </c>
      <c r="B491">
        <v>155.54</v>
      </c>
      <c r="C491">
        <v>57.73</v>
      </c>
      <c r="D491">
        <v>48.07</v>
      </c>
      <c r="E491" s="2">
        <v>4707.09</v>
      </c>
      <c r="F491" s="3">
        <f t="shared" si="56"/>
        <v>3.3544058831116441E-3</v>
      </c>
      <c r="G491" s="3">
        <f t="shared" si="57"/>
        <v>8.5604472396925146E-3</v>
      </c>
      <c r="H491" s="3">
        <f t="shared" si="58"/>
        <v>9.0260285474390578E-3</v>
      </c>
      <c r="I491" s="3">
        <f t="shared" si="59"/>
        <v>1.3650752632599072E-2</v>
      </c>
      <c r="J491" s="17">
        <v>-1.66</v>
      </c>
      <c r="K491" s="13">
        <v>-0.69</v>
      </c>
      <c r="L491" s="13">
        <v>-0.56999999999999995</v>
      </c>
      <c r="M491" s="20">
        <v>1.4E-2</v>
      </c>
      <c r="N491" s="20">
        <f t="shared" si="60"/>
        <v>-1.0645594116888356E-2</v>
      </c>
      <c r="O491" s="20">
        <f t="shared" si="61"/>
        <v>-4.9739714525609425E-3</v>
      </c>
      <c r="P491" s="20">
        <f t="shared" si="62"/>
        <v>-5.4395527603074856E-3</v>
      </c>
      <c r="Q491" s="20">
        <f t="shared" si="63"/>
        <v>-3.4924736740092784E-4</v>
      </c>
    </row>
    <row r="492" spans="1:17" x14ac:dyDescent="0.2">
      <c r="A492" s="1">
        <v>45274</v>
      </c>
      <c r="B492">
        <v>158.37</v>
      </c>
      <c r="C492">
        <v>56.87</v>
      </c>
      <c r="D492">
        <v>48.33</v>
      </c>
      <c r="E492" s="2">
        <v>4719.55</v>
      </c>
      <c r="F492" s="3">
        <f t="shared" si="56"/>
        <v>1.8194676610518323E-2</v>
      </c>
      <c r="G492" s="3">
        <f t="shared" si="57"/>
        <v>-1.4896934003117979E-2</v>
      </c>
      <c r="H492" s="3">
        <f t="shared" si="58"/>
        <v>5.4087788641563606E-3</v>
      </c>
      <c r="I492" s="3">
        <f t="shared" si="59"/>
        <v>2.6470706954828671E-3</v>
      </c>
      <c r="J492" s="13">
        <v>-0.47</v>
      </c>
      <c r="K492" s="13">
        <v>-0.61</v>
      </c>
      <c r="L492" s="12">
        <v>0.14000000000000001</v>
      </c>
      <c r="M492" s="20">
        <v>1.4E-2</v>
      </c>
      <c r="N492" s="20">
        <f t="shared" si="60"/>
        <v>4.194676610518323E-3</v>
      </c>
      <c r="O492" s="20">
        <f t="shared" si="61"/>
        <v>-8.5912211358436397E-3</v>
      </c>
      <c r="P492" s="20">
        <f t="shared" si="62"/>
        <v>-2.8896934003117977E-2</v>
      </c>
      <c r="Q492" s="20">
        <f t="shared" si="63"/>
        <v>-1.1352929304517133E-2</v>
      </c>
    </row>
    <row r="493" spans="1:17" x14ac:dyDescent="0.2">
      <c r="A493" s="1">
        <v>45275</v>
      </c>
      <c r="B493">
        <v>159.56</v>
      </c>
      <c r="C493">
        <v>56.45</v>
      </c>
      <c r="D493">
        <v>48.87</v>
      </c>
      <c r="E493" s="2">
        <v>4719.1899999999996</v>
      </c>
      <c r="F493" s="3">
        <f t="shared" si="56"/>
        <v>7.5140493780387896E-3</v>
      </c>
      <c r="G493" s="3">
        <f t="shared" si="57"/>
        <v>-7.3852646386494136E-3</v>
      </c>
      <c r="H493" s="3">
        <f t="shared" si="58"/>
        <v>1.1173184357541777E-2</v>
      </c>
      <c r="I493" s="3">
        <f t="shared" si="59"/>
        <v>-7.6278458751466438E-5</v>
      </c>
      <c r="J493" s="13">
        <v>-0.16</v>
      </c>
      <c r="K493" s="12">
        <v>0.17</v>
      </c>
      <c r="L493" s="11">
        <v>0.3</v>
      </c>
      <c r="M493" s="20">
        <v>1.4E-2</v>
      </c>
      <c r="N493" s="20">
        <f t="shared" si="60"/>
        <v>-6.4859506219612107E-3</v>
      </c>
      <c r="O493" s="20">
        <f t="shared" si="61"/>
        <v>-2.8268156424582237E-3</v>
      </c>
      <c r="P493" s="20">
        <f t="shared" si="62"/>
        <v>-2.1385264638649412E-2</v>
      </c>
      <c r="Q493" s="20">
        <f t="shared" si="63"/>
        <v>-1.4076278458751467E-2</v>
      </c>
    </row>
    <row r="494" spans="1:17" x14ac:dyDescent="0.2">
      <c r="A494" s="1">
        <v>45278</v>
      </c>
      <c r="B494">
        <v>160.53</v>
      </c>
      <c r="C494">
        <v>56.85</v>
      </c>
      <c r="D494">
        <v>50.06</v>
      </c>
      <c r="E494" s="2">
        <v>4740.5600000000004</v>
      </c>
      <c r="F494" s="3">
        <f t="shared" si="56"/>
        <v>6.0792178490849391E-3</v>
      </c>
      <c r="G494" s="3">
        <f t="shared" si="57"/>
        <v>7.0859167404782042E-3</v>
      </c>
      <c r="H494" s="3">
        <f t="shared" si="58"/>
        <v>2.4350317167996849E-2</v>
      </c>
      <c r="I494" s="3">
        <f t="shared" si="59"/>
        <v>4.5283194785548098E-3</v>
      </c>
      <c r="J494" s="15">
        <v>1.06</v>
      </c>
      <c r="K494" s="12">
        <v>0.41</v>
      </c>
      <c r="L494" s="12">
        <v>0.22</v>
      </c>
      <c r="M494" s="20">
        <v>1.4E-2</v>
      </c>
      <c r="N494" s="20">
        <f t="shared" si="60"/>
        <v>-7.9207821509150612E-3</v>
      </c>
      <c r="O494" s="20">
        <f t="shared" si="61"/>
        <v>1.0350317167996849E-2</v>
      </c>
      <c r="P494" s="20">
        <f t="shared" si="62"/>
        <v>-6.9140832595217961E-3</v>
      </c>
      <c r="Q494" s="20">
        <f t="shared" si="63"/>
        <v>-9.4716805214451905E-3</v>
      </c>
    </row>
    <row r="495" spans="1:17" x14ac:dyDescent="0.2">
      <c r="A495" s="1">
        <v>45279</v>
      </c>
      <c r="B495">
        <v>162.66999999999999</v>
      </c>
      <c r="C495">
        <v>56.67</v>
      </c>
      <c r="D495">
        <v>49.59</v>
      </c>
      <c r="E495" s="2">
        <v>4768.37</v>
      </c>
      <c r="F495" s="3">
        <f t="shared" si="56"/>
        <v>1.3330841587242181E-2</v>
      </c>
      <c r="G495" s="3">
        <f t="shared" si="57"/>
        <v>-3.1662269129287823E-3</v>
      </c>
      <c r="H495" s="3">
        <f t="shared" si="58"/>
        <v>-9.3887335197762045E-3</v>
      </c>
      <c r="I495" s="3">
        <f t="shared" si="59"/>
        <v>5.8663955313296157E-3</v>
      </c>
      <c r="J495" s="12">
        <v>0.23</v>
      </c>
      <c r="K495" s="12">
        <v>0.08</v>
      </c>
      <c r="L495" s="13">
        <v>-0.13</v>
      </c>
      <c r="M495" s="20">
        <v>1.4E-2</v>
      </c>
      <c r="N495" s="20">
        <f t="shared" si="60"/>
        <v>-6.691584127578188E-4</v>
      </c>
      <c r="O495" s="20">
        <f t="shared" si="61"/>
        <v>-2.3388733519776203E-2</v>
      </c>
      <c r="P495" s="20">
        <f t="shared" si="62"/>
        <v>-1.7166226912928781E-2</v>
      </c>
      <c r="Q495" s="20">
        <f t="shared" si="63"/>
        <v>-8.1336044686703846E-3</v>
      </c>
    </row>
    <row r="496" spans="1:17" x14ac:dyDescent="0.2">
      <c r="A496" s="1">
        <v>45280</v>
      </c>
      <c r="B496">
        <v>160.84</v>
      </c>
      <c r="C496">
        <v>55.49</v>
      </c>
      <c r="D496">
        <v>48.09</v>
      </c>
      <c r="E496" s="2">
        <v>4698.3500000000004</v>
      </c>
      <c r="F496" s="3">
        <f t="shared" si="56"/>
        <v>-1.1249769471936899E-2</v>
      </c>
      <c r="G496" s="3">
        <f t="shared" si="57"/>
        <v>-2.0822304570319417E-2</v>
      </c>
      <c r="H496" s="3">
        <f t="shared" si="58"/>
        <v>-3.0248033877797953E-2</v>
      </c>
      <c r="I496" s="3">
        <f t="shared" si="59"/>
        <v>-1.4684263175886003E-2</v>
      </c>
      <c r="J496" s="12">
        <v>0.34</v>
      </c>
      <c r="K496" s="13">
        <v>-0.31</v>
      </c>
      <c r="L496" s="12">
        <v>0.46</v>
      </c>
      <c r="M496" s="20">
        <v>1.4E-2</v>
      </c>
      <c r="N496" s="20">
        <f t="shared" si="60"/>
        <v>-2.5249769471936898E-2</v>
      </c>
      <c r="O496" s="20">
        <f t="shared" si="61"/>
        <v>-4.4248033877797951E-2</v>
      </c>
      <c r="P496" s="20">
        <f t="shared" si="62"/>
        <v>-3.4822304570319415E-2</v>
      </c>
      <c r="Q496" s="20">
        <f t="shared" si="63"/>
        <v>-2.8684263175886002E-2</v>
      </c>
    </row>
    <row r="497" spans="1:17" x14ac:dyDescent="0.2">
      <c r="A497" s="1">
        <v>45281</v>
      </c>
      <c r="B497">
        <v>161.76</v>
      </c>
      <c r="C497">
        <v>55.86</v>
      </c>
      <c r="D497">
        <v>48.97</v>
      </c>
      <c r="E497" s="2">
        <v>4746.75</v>
      </c>
      <c r="F497" s="3">
        <f t="shared" si="56"/>
        <v>5.7199701566774674E-3</v>
      </c>
      <c r="G497" s="3">
        <f t="shared" si="57"/>
        <v>6.6678680843395011E-3</v>
      </c>
      <c r="H497" s="3">
        <f t="shared" si="58"/>
        <v>1.829902266583483E-2</v>
      </c>
      <c r="I497" s="3">
        <f t="shared" si="59"/>
        <v>1.030148882054327E-2</v>
      </c>
      <c r="J497" s="12">
        <v>0.11</v>
      </c>
      <c r="K497" s="13">
        <v>-0.16</v>
      </c>
      <c r="L497" s="12">
        <v>0.73</v>
      </c>
      <c r="M497" s="20">
        <v>1.4E-2</v>
      </c>
      <c r="N497" s="20">
        <f t="shared" si="60"/>
        <v>-8.2800298433225328E-3</v>
      </c>
      <c r="O497" s="20">
        <f t="shared" si="61"/>
        <v>4.2990226658348295E-3</v>
      </c>
      <c r="P497" s="20">
        <f t="shared" si="62"/>
        <v>-7.3321319156604992E-3</v>
      </c>
      <c r="Q497" s="20">
        <f t="shared" si="63"/>
        <v>-3.6985111794567305E-3</v>
      </c>
    </row>
    <row r="498" spans="1:17" x14ac:dyDescent="0.2">
      <c r="A498" s="1">
        <v>45282</v>
      </c>
      <c r="B498">
        <v>161.66</v>
      </c>
      <c r="C498">
        <v>56.18</v>
      </c>
      <c r="D498">
        <v>48.81</v>
      </c>
      <c r="E498" s="2">
        <v>4754.63</v>
      </c>
      <c r="F498" s="3">
        <f t="shared" si="56"/>
        <v>-6.1819980217603376E-4</v>
      </c>
      <c r="G498" s="3">
        <f t="shared" si="57"/>
        <v>5.7286072323665671E-3</v>
      </c>
      <c r="H498" s="3">
        <f t="shared" si="58"/>
        <v>-3.2673065141922697E-3</v>
      </c>
      <c r="I498" s="3">
        <f t="shared" si="59"/>
        <v>1.6600832148312428E-3</v>
      </c>
      <c r="J498" s="13">
        <v>-0.49</v>
      </c>
      <c r="K498" s="12">
        <v>0.05</v>
      </c>
      <c r="L498" s="13">
        <v>-0.27</v>
      </c>
      <c r="M498" s="20">
        <v>1.4E-2</v>
      </c>
      <c r="N498" s="20">
        <f t="shared" si="60"/>
        <v>-1.4618199802176034E-2</v>
      </c>
      <c r="O498" s="20">
        <f t="shared" si="61"/>
        <v>-1.7267306514192268E-2</v>
      </c>
      <c r="P498" s="20">
        <f t="shared" si="62"/>
        <v>-8.2713927676334332E-3</v>
      </c>
      <c r="Q498" s="20">
        <f t="shared" si="63"/>
        <v>-1.2339916785168758E-2</v>
      </c>
    </row>
    <row r="499" spans="1:17" x14ac:dyDescent="0.2">
      <c r="A499" s="1">
        <v>45286</v>
      </c>
      <c r="B499">
        <v>162.62</v>
      </c>
      <c r="C499">
        <v>56.41</v>
      </c>
      <c r="D499">
        <v>49.26</v>
      </c>
      <c r="E499" s="2">
        <v>4774.75</v>
      </c>
      <c r="F499" s="3">
        <f t="shared" si="56"/>
        <v>5.9383892119262427E-3</v>
      </c>
      <c r="G499" s="3">
        <f t="shared" si="57"/>
        <v>4.0939836240654337E-3</v>
      </c>
      <c r="H499" s="3">
        <f t="shared" si="58"/>
        <v>9.2194222495389777E-3</v>
      </c>
      <c r="I499" s="3">
        <f t="shared" si="59"/>
        <v>4.2316647141837915E-3</v>
      </c>
      <c r="J499" s="12">
        <v>0.35</v>
      </c>
      <c r="K499" s="12">
        <v>0.02</v>
      </c>
      <c r="L499" s="12">
        <v>0.38</v>
      </c>
      <c r="M499" s="20">
        <v>1.4E-2</v>
      </c>
      <c r="N499" s="20">
        <f t="shared" si="60"/>
        <v>-8.0616107880737576E-3</v>
      </c>
      <c r="O499" s="20">
        <f t="shared" si="61"/>
        <v>-4.7805777504610226E-3</v>
      </c>
      <c r="P499" s="20">
        <f t="shared" si="62"/>
        <v>-9.9060163759345666E-3</v>
      </c>
      <c r="Q499" s="20">
        <f t="shared" si="63"/>
        <v>-9.7683352858162088E-3</v>
      </c>
    </row>
    <row r="500" spans="1:17" x14ac:dyDescent="0.2">
      <c r="A500" s="1">
        <v>45287</v>
      </c>
      <c r="B500">
        <v>163.59</v>
      </c>
      <c r="C500">
        <v>56.55</v>
      </c>
      <c r="D500">
        <v>49.4</v>
      </c>
      <c r="E500" s="2">
        <v>4781.58</v>
      </c>
      <c r="F500" s="3">
        <f t="shared" si="56"/>
        <v>5.9648259746647447E-3</v>
      </c>
      <c r="G500" s="3">
        <f t="shared" si="57"/>
        <v>2.4818294628612403E-3</v>
      </c>
      <c r="H500" s="3">
        <f t="shared" si="58"/>
        <v>2.8420625253755549E-3</v>
      </c>
      <c r="I500" s="3">
        <f t="shared" si="59"/>
        <v>1.430441384365766E-3</v>
      </c>
      <c r="J500" s="12">
        <v>0.56999999999999995</v>
      </c>
      <c r="K500" s="12">
        <v>0.27</v>
      </c>
      <c r="L500" s="13">
        <v>-0.24</v>
      </c>
      <c r="M500" s="20">
        <v>1.4E-2</v>
      </c>
      <c r="N500" s="20">
        <f t="shared" si="60"/>
        <v>-8.0351740253352556E-3</v>
      </c>
      <c r="O500" s="20">
        <f t="shared" si="61"/>
        <v>-1.1157937474624445E-2</v>
      </c>
      <c r="P500" s="20">
        <f t="shared" si="62"/>
        <v>-1.151817053713876E-2</v>
      </c>
      <c r="Q500" s="20">
        <f t="shared" si="63"/>
        <v>-1.2569558615634234E-2</v>
      </c>
    </row>
    <row r="501" spans="1:17" x14ac:dyDescent="0.2">
      <c r="A501" s="1">
        <v>45288</v>
      </c>
      <c r="B501">
        <v>164.46</v>
      </c>
      <c r="C501">
        <v>56.59</v>
      </c>
      <c r="D501">
        <v>49.5</v>
      </c>
      <c r="E501" s="2">
        <v>4783.3500000000004</v>
      </c>
      <c r="F501" s="3">
        <f t="shared" si="56"/>
        <v>5.3181734824867544E-3</v>
      </c>
      <c r="G501" s="3">
        <f t="shared" si="57"/>
        <v>7.0733863837313393E-4</v>
      </c>
      <c r="H501" s="3">
        <f t="shared" si="58"/>
        <v>2.0242914979757831E-3</v>
      </c>
      <c r="I501" s="3">
        <f t="shared" si="59"/>
        <v>3.7017052940679918E-4</v>
      </c>
      <c r="J501" s="12">
        <v>0.25</v>
      </c>
      <c r="K501" s="14">
        <v>-0.1</v>
      </c>
      <c r="L501" s="13">
        <v>-0.16</v>
      </c>
      <c r="M501" s="20">
        <v>1.0999999999999999E-2</v>
      </c>
      <c r="N501" s="20">
        <f t="shared" si="60"/>
        <v>-5.681826517513245E-3</v>
      </c>
      <c r="O501" s="20">
        <f t="shared" si="61"/>
        <v>-8.9757085020242162E-3</v>
      </c>
      <c r="P501" s="20">
        <f t="shared" si="62"/>
        <v>-1.0292661361626865E-2</v>
      </c>
      <c r="Q501" s="20">
        <f t="shared" si="63"/>
        <v>-1.06298294705932E-2</v>
      </c>
    </row>
    <row r="502" spans="1:17" x14ac:dyDescent="0.2">
      <c r="A502" s="1">
        <v>45289</v>
      </c>
      <c r="B502">
        <v>164.27</v>
      </c>
      <c r="C502">
        <v>56.76</v>
      </c>
      <c r="D502">
        <v>49.5</v>
      </c>
      <c r="E502" s="2">
        <v>4769.83</v>
      </c>
      <c r="F502" s="3">
        <f t="shared" si="56"/>
        <v>-1.1552961206372503E-3</v>
      </c>
      <c r="G502" s="3">
        <f t="shared" si="57"/>
        <v>3.0040643223183672E-3</v>
      </c>
      <c r="H502" s="3">
        <f t="shared" si="58"/>
        <v>0</v>
      </c>
      <c r="I502" s="3">
        <f t="shared" si="59"/>
        <v>-2.8264709879060046E-3</v>
      </c>
      <c r="J502" s="12">
        <v>7.0000000000000007E-2</v>
      </c>
      <c r="K502" s="12">
        <v>0.02</v>
      </c>
      <c r="L502" s="13">
        <v>-0.69</v>
      </c>
      <c r="M502" s="20">
        <v>1.0999999999999999E-2</v>
      </c>
      <c r="N502" s="20">
        <f t="shared" si="60"/>
        <v>-1.215529612063725E-2</v>
      </c>
      <c r="O502" s="20">
        <f t="shared" si="61"/>
        <v>-1.0999999999999999E-2</v>
      </c>
      <c r="P502" s="20">
        <f t="shared" si="62"/>
        <v>-7.9959356776816322E-3</v>
      </c>
      <c r="Q502" s="20">
        <f t="shared" si="63"/>
        <v>-1.3826470987906004E-2</v>
      </c>
    </row>
    <row r="503" spans="1:17" x14ac:dyDescent="0.2">
      <c r="A503" s="1">
        <v>45293</v>
      </c>
      <c r="B503">
        <v>166.18</v>
      </c>
      <c r="C503">
        <v>57.62</v>
      </c>
      <c r="D503">
        <v>48.15</v>
      </c>
      <c r="E503" s="2">
        <v>4742.83</v>
      </c>
      <c r="F503" s="3">
        <f t="shared" si="56"/>
        <v>1.1627199123394494E-2</v>
      </c>
      <c r="G503" s="3">
        <f t="shared" si="57"/>
        <v>1.5151515151515138E-2</v>
      </c>
      <c r="H503" s="3">
        <f t="shared" si="58"/>
        <v>-2.7272727272727337E-2</v>
      </c>
      <c r="I503" s="3">
        <f t="shared" si="59"/>
        <v>-5.6605790982068305E-3</v>
      </c>
      <c r="J503" s="12">
        <v>0.49</v>
      </c>
      <c r="K503" s="13">
        <v>-0.01</v>
      </c>
      <c r="L503" s="13">
        <v>-0.62</v>
      </c>
      <c r="M503" s="20">
        <v>1.0999999999999999E-2</v>
      </c>
      <c r="N503" s="20">
        <f t="shared" si="60"/>
        <v>6.2719912339449443E-4</v>
      </c>
      <c r="O503" s="20">
        <f t="shared" si="61"/>
        <v>-3.8272727272727333E-2</v>
      </c>
      <c r="P503" s="20">
        <f t="shared" si="62"/>
        <v>4.1515151515151387E-3</v>
      </c>
      <c r="Q503" s="20">
        <f t="shared" si="63"/>
        <v>-1.666057909820683E-2</v>
      </c>
    </row>
    <row r="504" spans="1:17" x14ac:dyDescent="0.2">
      <c r="A504" s="1">
        <v>45294</v>
      </c>
      <c r="B504">
        <v>165.46</v>
      </c>
      <c r="C504">
        <v>57.76</v>
      </c>
      <c r="D504">
        <v>47.55</v>
      </c>
      <c r="E504" s="2">
        <v>4704.8100000000004</v>
      </c>
      <c r="F504" s="3">
        <f t="shared" si="56"/>
        <v>-4.3326513419184032E-3</v>
      </c>
      <c r="G504" s="3">
        <f t="shared" si="57"/>
        <v>2.4297119055882721E-3</v>
      </c>
      <c r="H504" s="3">
        <f t="shared" si="58"/>
        <v>-1.2461059190031154E-2</v>
      </c>
      <c r="I504" s="3">
        <f t="shared" si="59"/>
        <v>-8.0163109367190621E-3</v>
      </c>
      <c r="J504" s="12">
        <v>0.66</v>
      </c>
      <c r="K504" s="13">
        <v>-0.09</v>
      </c>
      <c r="L504" s="11">
        <v>0.1</v>
      </c>
      <c r="M504" s="20">
        <v>1.0999999999999999E-2</v>
      </c>
      <c r="N504" s="20">
        <f t="shared" si="60"/>
        <v>-1.5332651341918403E-2</v>
      </c>
      <c r="O504" s="20">
        <f t="shared" si="61"/>
        <v>-2.3461059190031153E-2</v>
      </c>
      <c r="P504" s="20">
        <f t="shared" si="62"/>
        <v>-8.5702880944117273E-3</v>
      </c>
      <c r="Q504" s="20">
        <f t="shared" si="63"/>
        <v>-1.9016310936719062E-2</v>
      </c>
    </row>
    <row r="505" spans="1:17" x14ac:dyDescent="0.2">
      <c r="A505" s="1">
        <v>45295</v>
      </c>
      <c r="B505">
        <v>166.55</v>
      </c>
      <c r="C505">
        <v>57.56</v>
      </c>
      <c r="D505">
        <v>47.98</v>
      </c>
      <c r="E505" s="2">
        <v>4688.68</v>
      </c>
      <c r="F505" s="3">
        <f t="shared" si="56"/>
        <v>6.5876949111567384E-3</v>
      </c>
      <c r="G505" s="3">
        <f t="shared" si="57"/>
        <v>-3.4626038781162549E-3</v>
      </c>
      <c r="H505" s="3">
        <f t="shared" si="58"/>
        <v>9.0431125131440471E-3</v>
      </c>
      <c r="I505" s="3">
        <f t="shared" si="59"/>
        <v>-3.4284062480738342E-3</v>
      </c>
      <c r="J505" s="12">
        <v>0.39</v>
      </c>
      <c r="K505" s="12">
        <v>0.25</v>
      </c>
      <c r="L505" s="13">
        <v>-0.15</v>
      </c>
      <c r="M505" s="20">
        <v>1.0999999999999999E-2</v>
      </c>
      <c r="N505" s="20">
        <f t="shared" si="60"/>
        <v>-4.4123050888432609E-3</v>
      </c>
      <c r="O505" s="20">
        <f t="shared" si="61"/>
        <v>-1.9568874868559523E-3</v>
      </c>
      <c r="P505" s="20">
        <f t="shared" si="62"/>
        <v>-1.4462603878116254E-2</v>
      </c>
      <c r="Q505" s="20">
        <f t="shared" si="63"/>
        <v>-1.4428406248073834E-2</v>
      </c>
    </row>
    <row r="506" spans="1:17" x14ac:dyDescent="0.2">
      <c r="A506" s="1">
        <v>45296</v>
      </c>
      <c r="B506">
        <v>167.39</v>
      </c>
      <c r="C506">
        <v>57.48</v>
      </c>
      <c r="D506">
        <v>49.08</v>
      </c>
      <c r="E506" s="2">
        <v>4697.24</v>
      </c>
      <c r="F506" s="3">
        <f t="shared" si="56"/>
        <v>5.0435304713298823E-3</v>
      </c>
      <c r="G506" s="3">
        <f t="shared" si="57"/>
        <v>-1.389854065323215E-3</v>
      </c>
      <c r="H506" s="3">
        <f t="shared" si="58"/>
        <v>2.2926219258024183E-2</v>
      </c>
      <c r="I506" s="3">
        <f t="shared" si="59"/>
        <v>1.8256737503945519E-3</v>
      </c>
      <c r="J506" s="13">
        <v>-0.43</v>
      </c>
      <c r="K506" s="12">
        <v>0.22</v>
      </c>
      <c r="L506" s="13">
        <v>-0.09</v>
      </c>
      <c r="M506" s="20">
        <v>1.0999999999999999E-2</v>
      </c>
      <c r="N506" s="20">
        <f t="shared" si="60"/>
        <v>-5.9564695286701171E-3</v>
      </c>
      <c r="O506" s="20">
        <f t="shared" si="61"/>
        <v>1.1926219258024184E-2</v>
      </c>
      <c r="P506" s="20">
        <f t="shared" si="62"/>
        <v>-1.2389854065323214E-2</v>
      </c>
      <c r="Q506" s="20">
        <f t="shared" si="63"/>
        <v>-9.1743262496054474E-3</v>
      </c>
    </row>
    <row r="507" spans="1:17" x14ac:dyDescent="0.2">
      <c r="A507" s="1">
        <v>45299</v>
      </c>
      <c r="B507">
        <v>167.15</v>
      </c>
      <c r="C507">
        <v>57.9</v>
      </c>
      <c r="D507">
        <v>52.23</v>
      </c>
      <c r="E507" s="2">
        <v>4763.54</v>
      </c>
      <c r="F507" s="3">
        <f t="shared" si="56"/>
        <v>-1.4337774060575459E-3</v>
      </c>
      <c r="G507" s="3">
        <f t="shared" si="57"/>
        <v>7.3068893528183132E-3</v>
      </c>
      <c r="H507" s="3">
        <f t="shared" si="58"/>
        <v>6.4180929095354555E-2</v>
      </c>
      <c r="I507" s="3">
        <f t="shared" si="59"/>
        <v>1.4114671594383177E-2</v>
      </c>
      <c r="J507" s="12">
        <v>0.42</v>
      </c>
      <c r="K507" s="13">
        <v>-0.03</v>
      </c>
      <c r="L507" s="12">
        <v>0.56000000000000005</v>
      </c>
      <c r="M507" s="20">
        <v>1.0999999999999999E-2</v>
      </c>
      <c r="N507" s="20">
        <f t="shared" si="60"/>
        <v>-1.2433777406057545E-2</v>
      </c>
      <c r="O507" s="20">
        <f t="shared" si="61"/>
        <v>5.3180929095354559E-2</v>
      </c>
      <c r="P507" s="20">
        <f t="shared" si="62"/>
        <v>-3.6931106471816862E-3</v>
      </c>
      <c r="Q507" s="20">
        <f t="shared" si="63"/>
        <v>3.1146715943831775E-3</v>
      </c>
    </row>
    <row r="508" spans="1:17" x14ac:dyDescent="0.2">
      <c r="A508" s="1">
        <v>45300</v>
      </c>
      <c r="B508">
        <v>165.82</v>
      </c>
      <c r="C508">
        <v>57.8</v>
      </c>
      <c r="D508">
        <v>53.12</v>
      </c>
      <c r="E508" s="2">
        <v>4756.5</v>
      </c>
      <c r="F508" s="3">
        <f t="shared" si="56"/>
        <v>-7.9569249177385837E-3</v>
      </c>
      <c r="G508" s="3">
        <f t="shared" si="57"/>
        <v>-1.7271157167529916E-3</v>
      </c>
      <c r="H508" s="3">
        <f t="shared" si="58"/>
        <v>1.7040015316867718E-2</v>
      </c>
      <c r="I508" s="3">
        <f t="shared" si="59"/>
        <v>-1.4778924917183689E-3</v>
      </c>
      <c r="J508" s="15">
        <v>1.23</v>
      </c>
      <c r="K508" s="13">
        <v>-0.57999999999999996</v>
      </c>
      <c r="L508" s="13">
        <v>-0.37</v>
      </c>
      <c r="M508" s="20">
        <v>1.0999999999999999E-2</v>
      </c>
      <c r="N508" s="20">
        <f t="shared" si="60"/>
        <v>-1.8956924917738583E-2</v>
      </c>
      <c r="O508" s="20">
        <f t="shared" si="61"/>
        <v>6.0400153168677188E-3</v>
      </c>
      <c r="P508" s="20">
        <f t="shared" si="62"/>
        <v>-1.2727115716752991E-2</v>
      </c>
      <c r="Q508" s="20">
        <f t="shared" si="63"/>
        <v>-1.2477892491718368E-2</v>
      </c>
    </row>
    <row r="509" spans="1:17" x14ac:dyDescent="0.2">
      <c r="A509" s="1">
        <v>45301</v>
      </c>
      <c r="B509">
        <v>166.17</v>
      </c>
      <c r="C509">
        <v>57.99</v>
      </c>
      <c r="D509">
        <v>54.33</v>
      </c>
      <c r="E509" s="2">
        <v>4783.45</v>
      </c>
      <c r="F509" s="3">
        <f t="shared" si="56"/>
        <v>2.1107224701484295E-3</v>
      </c>
      <c r="G509" s="3">
        <f t="shared" si="57"/>
        <v>3.2871972318340159E-3</v>
      </c>
      <c r="H509" s="3">
        <f t="shared" si="58"/>
        <v>2.2778614457831248E-2</v>
      </c>
      <c r="I509" s="3">
        <f t="shared" si="59"/>
        <v>5.6659308314936929E-3</v>
      </c>
      <c r="J509" s="13">
        <v>-0.27</v>
      </c>
      <c r="K509" s="13">
        <v>-0.38</v>
      </c>
      <c r="L509" s="13">
        <v>-0.08</v>
      </c>
      <c r="M509" s="20">
        <v>1.0999999999999999E-2</v>
      </c>
      <c r="N509" s="20">
        <f t="shared" si="60"/>
        <v>-8.8892775298515699E-3</v>
      </c>
      <c r="O509" s="20">
        <f t="shared" si="61"/>
        <v>1.1778614457831248E-2</v>
      </c>
      <c r="P509" s="20">
        <f t="shared" si="62"/>
        <v>-7.7128027681659835E-3</v>
      </c>
      <c r="Q509" s="20">
        <f t="shared" si="63"/>
        <v>-5.3340691685063064E-3</v>
      </c>
    </row>
    <row r="510" spans="1:17" x14ac:dyDescent="0.2">
      <c r="A510" s="1">
        <v>45302</v>
      </c>
      <c r="B510">
        <v>165.47</v>
      </c>
      <c r="C510">
        <v>57.61</v>
      </c>
      <c r="D510">
        <v>54.8</v>
      </c>
      <c r="E510" s="2">
        <v>4780.24</v>
      </c>
      <c r="F510" s="3">
        <f t="shared" si="56"/>
        <v>-4.2125534091592698E-3</v>
      </c>
      <c r="G510" s="3">
        <f t="shared" si="57"/>
        <v>-6.5528539403345576E-3</v>
      </c>
      <c r="H510" s="3">
        <f t="shared" si="58"/>
        <v>8.6508374746916417E-3</v>
      </c>
      <c r="I510" s="3">
        <f t="shared" si="59"/>
        <v>-6.7106377196379796E-4</v>
      </c>
      <c r="J510" s="12">
        <v>0.41</v>
      </c>
      <c r="K510" s="13">
        <v>-0.18</v>
      </c>
      <c r="L510" s="13">
        <v>-0.05</v>
      </c>
      <c r="M510" s="20">
        <v>1.0999999999999999E-2</v>
      </c>
      <c r="N510" s="20">
        <f t="shared" si="60"/>
        <v>-1.5212553409159269E-2</v>
      </c>
      <c r="O510" s="20">
        <f t="shared" si="61"/>
        <v>-2.3491625253083577E-3</v>
      </c>
      <c r="P510" s="20">
        <f t="shared" si="62"/>
        <v>-1.7552853940334557E-2</v>
      </c>
      <c r="Q510" s="20">
        <f t="shared" si="63"/>
        <v>-1.1671063771963797E-2</v>
      </c>
    </row>
    <row r="511" spans="1:17" x14ac:dyDescent="0.2">
      <c r="A511" s="1">
        <v>45303</v>
      </c>
      <c r="B511">
        <v>164.26</v>
      </c>
      <c r="C511">
        <v>58.17</v>
      </c>
      <c r="D511">
        <v>54.69</v>
      </c>
      <c r="E511" s="2">
        <v>4783.83</v>
      </c>
      <c r="F511" s="3">
        <f t="shared" si="56"/>
        <v>-7.3125037771197832E-3</v>
      </c>
      <c r="G511" s="3">
        <f t="shared" si="57"/>
        <v>9.7205346294046979E-3</v>
      </c>
      <c r="H511" s="3">
        <f t="shared" si="58"/>
        <v>-2.0072992700730374E-3</v>
      </c>
      <c r="I511" s="3">
        <f t="shared" si="59"/>
        <v>7.5100831757413111E-4</v>
      </c>
      <c r="J511" s="14">
        <v>-0.3</v>
      </c>
      <c r="K511" s="12">
        <v>0.04</v>
      </c>
      <c r="L511" s="13">
        <v>-0.05</v>
      </c>
      <c r="M511" s="20">
        <v>1.0999999999999999E-2</v>
      </c>
      <c r="N511" s="20">
        <f t="shared" si="60"/>
        <v>-1.8312503777119783E-2</v>
      </c>
      <c r="O511" s="20">
        <f t="shared" si="61"/>
        <v>-1.3007299270073037E-2</v>
      </c>
      <c r="P511" s="20">
        <f t="shared" si="62"/>
        <v>-1.2794653705953014E-3</v>
      </c>
      <c r="Q511" s="20">
        <f t="shared" si="63"/>
        <v>-1.0248991682425868E-2</v>
      </c>
    </row>
    <row r="512" spans="1:17" x14ac:dyDescent="0.2">
      <c r="A512" s="1">
        <v>45307</v>
      </c>
      <c r="B512">
        <v>163.22999999999999</v>
      </c>
      <c r="C512">
        <v>57.79</v>
      </c>
      <c r="D512">
        <v>56.36</v>
      </c>
      <c r="E512" s="2">
        <v>4765.9799999999996</v>
      </c>
      <c r="F512" s="3">
        <f t="shared" si="56"/>
        <v>-6.2705466942651888E-3</v>
      </c>
      <c r="G512" s="3">
        <f t="shared" si="57"/>
        <v>-6.5325769296888936E-3</v>
      </c>
      <c r="H512" s="3">
        <f t="shared" si="58"/>
        <v>3.0535746937282893E-2</v>
      </c>
      <c r="I512" s="3">
        <f t="shared" si="59"/>
        <v>-3.7313198838587747E-3</v>
      </c>
      <c r="J512" s="12">
        <v>0.13</v>
      </c>
      <c r="K512" s="13">
        <v>-0.02</v>
      </c>
      <c r="L512" s="12">
        <v>0.49</v>
      </c>
      <c r="M512" s="20">
        <v>1.0999999999999999E-2</v>
      </c>
      <c r="N512" s="20">
        <f t="shared" si="60"/>
        <v>-1.7270546694265188E-2</v>
      </c>
      <c r="O512" s="20">
        <f t="shared" si="61"/>
        <v>1.9535746937282893E-2</v>
      </c>
      <c r="P512" s="20">
        <f t="shared" si="62"/>
        <v>-1.7532576929688893E-2</v>
      </c>
      <c r="Q512" s="20">
        <f t="shared" si="63"/>
        <v>-1.4731319883858774E-2</v>
      </c>
    </row>
    <row r="513" spans="1:17" x14ac:dyDescent="0.2">
      <c r="A513" s="1">
        <v>45308</v>
      </c>
      <c r="B513">
        <v>162.36000000000001</v>
      </c>
      <c r="C513">
        <v>57.79</v>
      </c>
      <c r="D513">
        <v>56.03</v>
      </c>
      <c r="E513" s="2">
        <v>4739.21</v>
      </c>
      <c r="F513" s="3">
        <f t="shared" si="56"/>
        <v>-5.3299025914352871E-3</v>
      </c>
      <c r="G513" s="3">
        <f t="shared" si="57"/>
        <v>0</v>
      </c>
      <c r="H513" s="3">
        <f t="shared" si="58"/>
        <v>-5.8552164655784056E-3</v>
      </c>
      <c r="I513" s="3">
        <f t="shared" si="59"/>
        <v>-5.6168930629166836E-3</v>
      </c>
      <c r="J513" s="12">
        <v>0.72</v>
      </c>
      <c r="K513" s="13">
        <v>-0.43</v>
      </c>
      <c r="L513" s="12">
        <v>0.23</v>
      </c>
      <c r="M513" s="20">
        <v>1.0999999999999999E-2</v>
      </c>
      <c r="N513" s="20">
        <f t="shared" si="60"/>
        <v>-1.6329902591435286E-2</v>
      </c>
      <c r="O513" s="20">
        <f t="shared" si="61"/>
        <v>-1.6855216465578405E-2</v>
      </c>
      <c r="P513" s="20">
        <f t="shared" si="62"/>
        <v>-1.0999999999999999E-2</v>
      </c>
      <c r="Q513" s="20">
        <f t="shared" si="63"/>
        <v>-1.6616893062916683E-2</v>
      </c>
    </row>
    <row r="514" spans="1:17" x14ac:dyDescent="0.2">
      <c r="A514" s="1">
        <v>45309</v>
      </c>
      <c r="B514">
        <v>162.68</v>
      </c>
      <c r="C514">
        <v>57.95</v>
      </c>
      <c r="D514">
        <v>57.09</v>
      </c>
      <c r="E514" s="2">
        <v>4780.9399999999996</v>
      </c>
      <c r="F514" s="3">
        <f t="shared" si="56"/>
        <v>1.9709288001970027E-3</v>
      </c>
      <c r="G514" s="3">
        <f t="shared" si="57"/>
        <v>2.7686450943069651E-3</v>
      </c>
      <c r="H514" s="3">
        <f t="shared" si="58"/>
        <v>1.8918436551847329E-2</v>
      </c>
      <c r="I514" s="3">
        <f t="shared" si="59"/>
        <v>8.8052650125229892E-3</v>
      </c>
      <c r="J514" s="12">
        <v>0.93</v>
      </c>
      <c r="K514" s="13">
        <v>-0.56999999999999995</v>
      </c>
      <c r="L514" s="12">
        <v>0.22</v>
      </c>
      <c r="M514" s="20">
        <v>1.0999999999999999E-2</v>
      </c>
      <c r="N514" s="20">
        <f t="shared" si="60"/>
        <v>-9.0290711998029967E-3</v>
      </c>
      <c r="O514" s="20">
        <f t="shared" si="61"/>
        <v>7.9184365518473292E-3</v>
      </c>
      <c r="P514" s="20">
        <f t="shared" si="62"/>
        <v>-8.2313549056930342E-3</v>
      </c>
      <c r="Q514" s="20">
        <f t="shared" si="63"/>
        <v>-2.1947349874770102E-3</v>
      </c>
    </row>
    <row r="515" spans="1:17" x14ac:dyDescent="0.2">
      <c r="A515" s="1">
        <v>45310</v>
      </c>
      <c r="B515">
        <v>165.48</v>
      </c>
      <c r="C515">
        <v>57.63</v>
      </c>
      <c r="D515">
        <v>59.47</v>
      </c>
      <c r="E515" s="2">
        <v>4839.8100000000004</v>
      </c>
      <c r="F515" s="3">
        <f t="shared" si="56"/>
        <v>1.7211703958691871E-2</v>
      </c>
      <c r="G515" s="3">
        <f t="shared" si="57"/>
        <v>-5.5220017256255582E-3</v>
      </c>
      <c r="H515" s="3">
        <f t="shared" si="58"/>
        <v>4.1688561919775768E-2</v>
      </c>
      <c r="I515" s="3">
        <f t="shared" si="59"/>
        <v>1.2313478102632613E-2</v>
      </c>
      <c r="J515" s="12">
        <v>0.19</v>
      </c>
      <c r="K515" s="12">
        <v>0.01</v>
      </c>
      <c r="L515" s="12">
        <v>0.48</v>
      </c>
      <c r="M515" s="20">
        <v>1.0999999999999999E-2</v>
      </c>
      <c r="N515" s="20">
        <f t="shared" si="60"/>
        <v>6.2117039586918714E-3</v>
      </c>
      <c r="O515" s="20">
        <f t="shared" si="61"/>
        <v>3.0688561919775769E-2</v>
      </c>
      <c r="P515" s="20">
        <f t="shared" si="62"/>
        <v>-1.6522001725625558E-2</v>
      </c>
      <c r="Q515" s="20">
        <f t="shared" si="63"/>
        <v>1.3134781026326141E-3</v>
      </c>
    </row>
    <row r="516" spans="1:17" x14ac:dyDescent="0.2">
      <c r="A516" s="1">
        <v>45313</v>
      </c>
      <c r="B516">
        <v>165.29</v>
      </c>
      <c r="C516">
        <v>57.38</v>
      </c>
      <c r="D516">
        <v>59.63</v>
      </c>
      <c r="E516" s="2">
        <v>4850.43</v>
      </c>
      <c r="F516" s="3">
        <f t="shared" ref="F516:F579" si="64">(B516/B515)-1</f>
        <v>-1.1481750060430285E-3</v>
      </c>
      <c r="G516" s="3">
        <f t="shared" ref="G516:G579" si="65">(C516/C515)-1</f>
        <v>-4.3380183931980287E-3</v>
      </c>
      <c r="H516" s="3">
        <f t="shared" ref="H516:H579" si="66">(D516/D515)-1</f>
        <v>2.6904321506642237E-3</v>
      </c>
      <c r="I516" s="3">
        <f t="shared" ref="I516:I579" si="67">(E516/E515)-1</f>
        <v>2.194301015948863E-3</v>
      </c>
      <c r="J516" s="12">
        <v>0.14000000000000001</v>
      </c>
      <c r="K516" s="15">
        <v>1.21</v>
      </c>
      <c r="L516" s="13">
        <v>-0.75</v>
      </c>
      <c r="M516" s="20">
        <v>1.0999999999999999E-2</v>
      </c>
      <c r="N516" s="20">
        <f t="shared" ref="N516:N579" si="68">F516-M516</f>
        <v>-1.2148175006043028E-2</v>
      </c>
      <c r="O516" s="20">
        <f t="shared" ref="O516:O579" si="69">H516-M516</f>
        <v>-8.3095678493357757E-3</v>
      </c>
      <c r="P516" s="20">
        <f t="shared" ref="P516:P579" si="70">G516-M516</f>
        <v>-1.5338018393198028E-2</v>
      </c>
      <c r="Q516" s="20">
        <f t="shared" ref="Q516:Q579" si="71">I516-M516</f>
        <v>-8.8056989840511364E-3</v>
      </c>
    </row>
    <row r="517" spans="1:17" x14ac:dyDescent="0.2">
      <c r="A517" s="1">
        <v>45314</v>
      </c>
      <c r="B517">
        <v>164.2</v>
      </c>
      <c r="C517">
        <v>57.65</v>
      </c>
      <c r="D517">
        <v>59.85</v>
      </c>
      <c r="E517" s="2">
        <v>4864.6000000000004</v>
      </c>
      <c r="F517" s="3">
        <f t="shared" si="64"/>
        <v>-6.5944703248835834E-3</v>
      </c>
      <c r="G517" s="3">
        <f t="shared" si="65"/>
        <v>4.7054722899964041E-3</v>
      </c>
      <c r="H517" s="3">
        <f t="shared" si="66"/>
        <v>3.6894180781485986E-3</v>
      </c>
      <c r="I517" s="3">
        <f t="shared" si="67"/>
        <v>2.9213904746590025E-3</v>
      </c>
      <c r="J517" s="12">
        <v>0.42</v>
      </c>
      <c r="K517" s="12">
        <v>0.38</v>
      </c>
      <c r="L517" s="14">
        <v>-0.2</v>
      </c>
      <c r="M517" s="20">
        <v>1.0999999999999999E-2</v>
      </c>
      <c r="N517" s="20">
        <f t="shared" si="68"/>
        <v>-1.7594470324883583E-2</v>
      </c>
      <c r="O517" s="20">
        <f t="shared" si="69"/>
        <v>-7.3105819218514008E-3</v>
      </c>
      <c r="P517" s="20">
        <f t="shared" si="70"/>
        <v>-6.2945277100035953E-3</v>
      </c>
      <c r="Q517" s="20">
        <f t="shared" si="71"/>
        <v>-8.0786095253409969E-3</v>
      </c>
    </row>
    <row r="518" spans="1:17" x14ac:dyDescent="0.2">
      <c r="A518" s="1">
        <v>45315</v>
      </c>
      <c r="B518">
        <v>165.67</v>
      </c>
      <c r="C518">
        <v>56.75</v>
      </c>
      <c r="D518">
        <v>61.34</v>
      </c>
      <c r="E518" s="2">
        <v>4868.55</v>
      </c>
      <c r="F518" s="3">
        <f t="shared" si="64"/>
        <v>8.9524969549330535E-3</v>
      </c>
      <c r="G518" s="3">
        <f t="shared" si="65"/>
        <v>-1.5611448395490002E-2</v>
      </c>
      <c r="H518" s="3">
        <f t="shared" si="66"/>
        <v>2.4895572263993415E-2</v>
      </c>
      <c r="I518" s="3">
        <f t="shared" si="67"/>
        <v>8.1198865271558951E-4</v>
      </c>
      <c r="J518" s="12">
        <v>0.86</v>
      </c>
      <c r="K518" s="12">
        <v>0.15</v>
      </c>
      <c r="L518" s="12">
        <v>0.48</v>
      </c>
      <c r="M518" s="20">
        <v>1.0999999999999999E-2</v>
      </c>
      <c r="N518" s="20">
        <f t="shared" si="68"/>
        <v>-2.0475030450669458E-3</v>
      </c>
      <c r="O518" s="20">
        <f t="shared" si="69"/>
        <v>1.3895572263993416E-2</v>
      </c>
      <c r="P518" s="20">
        <f t="shared" si="70"/>
        <v>-2.6611448395490001E-2</v>
      </c>
      <c r="Q518" s="20">
        <f t="shared" si="71"/>
        <v>-1.018801134728441E-2</v>
      </c>
    </row>
    <row r="519" spans="1:17" x14ac:dyDescent="0.2">
      <c r="A519" s="1">
        <v>45316</v>
      </c>
      <c r="B519">
        <v>168.04</v>
      </c>
      <c r="C519">
        <v>56.99</v>
      </c>
      <c r="D519">
        <v>61.59</v>
      </c>
      <c r="E519" s="2">
        <v>4894.16</v>
      </c>
      <c r="F519" s="3">
        <f t="shared" si="64"/>
        <v>1.4305547172089206E-2</v>
      </c>
      <c r="G519" s="3">
        <f t="shared" si="65"/>
        <v>4.2290748898679009E-3</v>
      </c>
      <c r="H519" s="3">
        <f t="shared" si="66"/>
        <v>4.0756439517444232E-3</v>
      </c>
      <c r="I519" s="3">
        <f t="shared" si="67"/>
        <v>5.2602931057501578E-3</v>
      </c>
      <c r="J519" s="13">
        <v>-0.36</v>
      </c>
      <c r="K519" s="14">
        <v>-0.3</v>
      </c>
      <c r="L519" s="13">
        <v>-0.37</v>
      </c>
      <c r="M519" s="20">
        <v>1.0999999999999999E-2</v>
      </c>
      <c r="N519" s="20">
        <f t="shared" si="68"/>
        <v>3.3055471720892064E-3</v>
      </c>
      <c r="O519" s="20">
        <f t="shared" si="69"/>
        <v>-6.9243560482555762E-3</v>
      </c>
      <c r="P519" s="20">
        <f t="shared" si="70"/>
        <v>-6.7709251101320984E-3</v>
      </c>
      <c r="Q519" s="20">
        <f t="shared" si="71"/>
        <v>-5.7397068942498415E-3</v>
      </c>
    </row>
    <row r="520" spans="1:17" x14ac:dyDescent="0.2">
      <c r="A520" s="1">
        <v>45317</v>
      </c>
      <c r="B520">
        <v>167.4</v>
      </c>
      <c r="C520">
        <v>57.19</v>
      </c>
      <c r="D520">
        <v>61.01</v>
      </c>
      <c r="E520" s="2">
        <v>4890.97</v>
      </c>
      <c r="F520" s="3">
        <f t="shared" si="64"/>
        <v>-3.8086169959532512E-3</v>
      </c>
      <c r="G520" s="3">
        <f t="shared" si="65"/>
        <v>3.5093876118617029E-3</v>
      </c>
      <c r="H520" s="3">
        <f t="shared" si="66"/>
        <v>-9.4171131677220909E-3</v>
      </c>
      <c r="I520" s="3">
        <f t="shared" si="67"/>
        <v>-6.517972440622799E-4</v>
      </c>
      <c r="J520" s="12">
        <v>0.75</v>
      </c>
      <c r="K520" s="13">
        <v>-0.38</v>
      </c>
      <c r="L520" s="13">
        <v>-0.67</v>
      </c>
      <c r="M520" s="20">
        <v>1.0999999999999999E-2</v>
      </c>
      <c r="N520" s="20">
        <f t="shared" si="68"/>
        <v>-1.4808616995953251E-2</v>
      </c>
      <c r="O520" s="20">
        <f t="shared" si="69"/>
        <v>-2.041711316772209E-2</v>
      </c>
      <c r="P520" s="20">
        <f t="shared" si="70"/>
        <v>-7.4906123881382965E-3</v>
      </c>
      <c r="Q520" s="20">
        <f t="shared" si="71"/>
        <v>-1.1651797244062279E-2</v>
      </c>
    </row>
    <row r="521" spans="1:17" x14ac:dyDescent="0.2">
      <c r="A521" s="1">
        <v>45320</v>
      </c>
      <c r="B521">
        <v>167.84</v>
      </c>
      <c r="C521">
        <v>57.54</v>
      </c>
      <c r="D521">
        <v>62.44</v>
      </c>
      <c r="E521" s="2">
        <v>4927.93</v>
      </c>
      <c r="F521" s="3">
        <f t="shared" si="64"/>
        <v>2.6284348864993312E-3</v>
      </c>
      <c r="G521" s="3">
        <f t="shared" si="65"/>
        <v>6.1199510403917579E-3</v>
      </c>
      <c r="H521" s="3">
        <f t="shared" si="66"/>
        <v>2.3438780527782255E-2</v>
      </c>
      <c r="I521" s="3">
        <f t="shared" si="67"/>
        <v>7.5567832147815928E-3</v>
      </c>
      <c r="J521" s="12">
        <v>7.0000000000000007E-2</v>
      </c>
      <c r="K521" s="13">
        <v>-0.45</v>
      </c>
      <c r="L521" s="13">
        <v>-0.06</v>
      </c>
      <c r="M521" s="20">
        <v>1.0999999999999999E-2</v>
      </c>
      <c r="N521" s="20">
        <f t="shared" si="68"/>
        <v>-8.3715651135006681E-3</v>
      </c>
      <c r="O521" s="20">
        <f t="shared" si="69"/>
        <v>1.2438780527782255E-2</v>
      </c>
      <c r="P521" s="20">
        <f t="shared" si="70"/>
        <v>-4.8800489596082415E-3</v>
      </c>
      <c r="Q521" s="20">
        <f t="shared" si="71"/>
        <v>-3.4432167852184066E-3</v>
      </c>
    </row>
    <row r="522" spans="1:17" x14ac:dyDescent="0.2">
      <c r="A522" s="1">
        <v>45321</v>
      </c>
      <c r="B522">
        <v>171.28</v>
      </c>
      <c r="C522">
        <v>57.7</v>
      </c>
      <c r="D522">
        <v>62.75</v>
      </c>
      <c r="E522" s="2">
        <v>4924.97</v>
      </c>
      <c r="F522" s="3">
        <f t="shared" si="64"/>
        <v>2.0495710200190587E-2</v>
      </c>
      <c r="G522" s="3">
        <f t="shared" si="65"/>
        <v>2.7806743135210255E-3</v>
      </c>
      <c r="H522" s="3">
        <f t="shared" si="66"/>
        <v>4.9647661755285455E-3</v>
      </c>
      <c r="I522" s="3">
        <f t="shared" si="67"/>
        <v>-6.0065788272156695E-4</v>
      </c>
      <c r="J522" s="12">
        <v>0.95</v>
      </c>
      <c r="K522" s="12">
        <v>0.09</v>
      </c>
      <c r="L522" s="13">
        <v>-0.27</v>
      </c>
      <c r="M522" s="20">
        <v>1.0999999999999999E-2</v>
      </c>
      <c r="N522" s="20">
        <f t="shared" si="68"/>
        <v>9.4957102001905873E-3</v>
      </c>
      <c r="O522" s="20">
        <f t="shared" si="69"/>
        <v>-6.0352338244714539E-3</v>
      </c>
      <c r="P522" s="20">
        <f t="shared" si="70"/>
        <v>-8.2193256864789739E-3</v>
      </c>
      <c r="Q522" s="20">
        <f t="shared" si="71"/>
        <v>-1.1600657882721566E-2</v>
      </c>
    </row>
    <row r="523" spans="1:17" x14ac:dyDescent="0.2">
      <c r="A523" s="1">
        <v>45322</v>
      </c>
      <c r="B523">
        <v>169.42</v>
      </c>
      <c r="C523">
        <v>57.3</v>
      </c>
      <c r="D523">
        <v>61.5</v>
      </c>
      <c r="E523" s="2">
        <v>4845.6499999999996</v>
      </c>
      <c r="F523" s="3">
        <f t="shared" si="64"/>
        <v>-1.085941148995806E-2</v>
      </c>
      <c r="G523" s="3">
        <f t="shared" si="65"/>
        <v>-6.9324090121317683E-3</v>
      </c>
      <c r="H523" s="3">
        <f t="shared" si="66"/>
        <v>-1.9920318725099584E-2</v>
      </c>
      <c r="I523" s="3">
        <f t="shared" si="67"/>
        <v>-1.6105681862021659E-2</v>
      </c>
      <c r="J523" s="13">
        <v>-0.33</v>
      </c>
      <c r="K523" s="13">
        <v>-0.25</v>
      </c>
      <c r="L523" s="15">
        <v>1.0900000000000001</v>
      </c>
      <c r="M523" s="20">
        <v>1.0999999999999999E-2</v>
      </c>
      <c r="N523" s="20">
        <f t="shared" si="68"/>
        <v>-2.1859411489958059E-2</v>
      </c>
      <c r="O523" s="20">
        <f t="shared" si="69"/>
        <v>-3.0920318725099583E-2</v>
      </c>
      <c r="P523" s="20">
        <f t="shared" si="70"/>
        <v>-1.7932409012131768E-2</v>
      </c>
      <c r="Q523" s="20">
        <f t="shared" si="71"/>
        <v>-2.7105681862021658E-2</v>
      </c>
    </row>
    <row r="524" spans="1:17" x14ac:dyDescent="0.2">
      <c r="A524" s="1">
        <v>45323</v>
      </c>
      <c r="B524">
        <v>168.81</v>
      </c>
      <c r="C524">
        <v>58.74</v>
      </c>
      <c r="D524">
        <v>63</v>
      </c>
      <c r="E524" s="2">
        <v>4906.1899999999996</v>
      </c>
      <c r="F524" s="3">
        <f t="shared" si="64"/>
        <v>-3.6005194191948142E-3</v>
      </c>
      <c r="G524" s="3">
        <f t="shared" si="65"/>
        <v>2.5130890052356136E-2</v>
      </c>
      <c r="H524" s="3">
        <f t="shared" si="66"/>
        <v>2.4390243902439046E-2</v>
      </c>
      <c r="I524" s="3">
        <f t="shared" si="67"/>
        <v>1.2493679898465615E-2</v>
      </c>
      <c r="J524" s="12">
        <v>0.03</v>
      </c>
      <c r="K524" s="12">
        <v>0.48</v>
      </c>
      <c r="L524" s="12">
        <v>0.02</v>
      </c>
      <c r="M524" s="20">
        <v>1.0999999999999999E-2</v>
      </c>
      <c r="N524" s="20">
        <f t="shared" si="68"/>
        <v>-1.4600519419194814E-2</v>
      </c>
      <c r="O524" s="20">
        <f t="shared" si="69"/>
        <v>1.3390243902439047E-2</v>
      </c>
      <c r="P524" s="20">
        <f t="shared" si="70"/>
        <v>1.4130890052356137E-2</v>
      </c>
      <c r="Q524" s="20">
        <f t="shared" si="71"/>
        <v>1.4936798984656156E-3</v>
      </c>
    </row>
    <row r="525" spans="1:17" x14ac:dyDescent="0.2">
      <c r="A525" s="1">
        <v>45324</v>
      </c>
      <c r="B525">
        <v>169.78</v>
      </c>
      <c r="C525">
        <v>58.32</v>
      </c>
      <c r="D525">
        <v>66.14</v>
      </c>
      <c r="E525" s="2">
        <v>4958.6099999999997</v>
      </c>
      <c r="F525" s="3">
        <f t="shared" si="64"/>
        <v>5.7461050885609932E-3</v>
      </c>
      <c r="G525" s="3">
        <f t="shared" si="65"/>
        <v>-7.1501532175689553E-3</v>
      </c>
      <c r="H525" s="3">
        <f t="shared" si="66"/>
        <v>4.9841269841269797E-2</v>
      </c>
      <c r="I525" s="3">
        <f t="shared" si="67"/>
        <v>1.0684461873673889E-2</v>
      </c>
      <c r="J525" s="12">
        <v>0.19</v>
      </c>
      <c r="K525" s="12">
        <v>0.27</v>
      </c>
      <c r="L525" s="12">
        <v>0.41</v>
      </c>
      <c r="M525" s="20">
        <v>1.0999999999999999E-2</v>
      </c>
      <c r="N525" s="20">
        <f t="shared" si="68"/>
        <v>-5.2538949114390061E-3</v>
      </c>
      <c r="O525" s="20">
        <f t="shared" si="69"/>
        <v>3.8841269841269802E-2</v>
      </c>
      <c r="P525" s="20">
        <f t="shared" si="70"/>
        <v>-1.8150153217568955E-2</v>
      </c>
      <c r="Q525" s="20">
        <f t="shared" si="71"/>
        <v>-3.1553812632610992E-4</v>
      </c>
    </row>
    <row r="526" spans="1:17" x14ac:dyDescent="0.2">
      <c r="A526" s="1">
        <v>45327</v>
      </c>
      <c r="B526">
        <v>169.56</v>
      </c>
      <c r="C526">
        <v>57.83</v>
      </c>
      <c r="D526">
        <v>69.31</v>
      </c>
      <c r="E526" s="2">
        <v>4942.8100000000004</v>
      </c>
      <c r="F526" s="3">
        <f t="shared" si="64"/>
        <v>-1.2957945576628216E-3</v>
      </c>
      <c r="G526" s="3">
        <f t="shared" si="65"/>
        <v>-8.4019204389574886E-3</v>
      </c>
      <c r="H526" s="3">
        <f t="shared" si="66"/>
        <v>4.7928636226186816E-2</v>
      </c>
      <c r="I526" s="3">
        <f t="shared" si="67"/>
        <v>-3.18637682737688E-3</v>
      </c>
      <c r="J526" s="15">
        <v>1.49</v>
      </c>
      <c r="K526" s="13">
        <v>-7.0000000000000007E-2</v>
      </c>
      <c r="L526" s="14">
        <v>-0.7</v>
      </c>
      <c r="M526" s="20">
        <v>1.0999999999999999E-2</v>
      </c>
      <c r="N526" s="20">
        <f t="shared" si="68"/>
        <v>-1.2295794557662821E-2</v>
      </c>
      <c r="O526" s="20">
        <f t="shared" si="69"/>
        <v>3.692863622618682E-2</v>
      </c>
      <c r="P526" s="20">
        <f t="shared" si="70"/>
        <v>-1.9401920438957488E-2</v>
      </c>
      <c r="Q526" s="20">
        <f t="shared" si="71"/>
        <v>-1.4186376827376879E-2</v>
      </c>
    </row>
    <row r="527" spans="1:17" x14ac:dyDescent="0.2">
      <c r="A527" s="1">
        <v>45328</v>
      </c>
      <c r="B527">
        <v>170.14</v>
      </c>
      <c r="C527">
        <v>57.74</v>
      </c>
      <c r="D527">
        <v>68.2</v>
      </c>
      <c r="E527" s="2">
        <v>4954.2299999999996</v>
      </c>
      <c r="F527" s="3">
        <f t="shared" si="64"/>
        <v>3.4206180702995859E-3</v>
      </c>
      <c r="G527" s="3">
        <f t="shared" si="65"/>
        <v>-1.556285664879753E-3</v>
      </c>
      <c r="H527" s="3">
        <f t="shared" si="66"/>
        <v>-1.6015005049776376E-2</v>
      </c>
      <c r="I527" s="3">
        <f t="shared" si="67"/>
        <v>2.310426660138587E-3</v>
      </c>
      <c r="J527" s="13">
        <v>-0.56999999999999995</v>
      </c>
      <c r="K527" s="12">
        <v>0.44</v>
      </c>
      <c r="L527" s="12">
        <v>0.14000000000000001</v>
      </c>
      <c r="M527" s="20">
        <v>1.0999999999999999E-2</v>
      </c>
      <c r="N527" s="20">
        <f t="shared" si="68"/>
        <v>-7.5793819297004135E-3</v>
      </c>
      <c r="O527" s="20">
        <f t="shared" si="69"/>
        <v>-2.7015005049776376E-2</v>
      </c>
      <c r="P527" s="20">
        <f t="shared" si="70"/>
        <v>-1.2556285664879752E-2</v>
      </c>
      <c r="Q527" s="20">
        <f t="shared" si="71"/>
        <v>-8.6895733398614124E-3</v>
      </c>
    </row>
    <row r="528" spans="1:17" x14ac:dyDescent="0.2">
      <c r="A528" s="1">
        <v>45329</v>
      </c>
      <c r="B528">
        <v>170.46</v>
      </c>
      <c r="C528">
        <v>57.79</v>
      </c>
      <c r="D528">
        <v>70.069999999999993</v>
      </c>
      <c r="E528" s="2">
        <v>4995.0600000000004</v>
      </c>
      <c r="F528" s="3">
        <f t="shared" si="64"/>
        <v>1.880804043728812E-3</v>
      </c>
      <c r="G528" s="3">
        <f t="shared" si="65"/>
        <v>8.6595081399365448E-4</v>
      </c>
      <c r="H528" s="3">
        <f t="shared" si="66"/>
        <v>2.7419354838709609E-2</v>
      </c>
      <c r="I528" s="3">
        <f t="shared" si="67"/>
        <v>8.2414421615468747E-3</v>
      </c>
      <c r="J528" s="13">
        <v>-0.87</v>
      </c>
      <c r="K528" s="12">
        <v>0.71</v>
      </c>
      <c r="L528" s="12">
        <v>0.51</v>
      </c>
      <c r="M528" s="21">
        <v>0.01</v>
      </c>
      <c r="N528" s="20">
        <f t="shared" si="68"/>
        <v>-8.1191959562711882E-3</v>
      </c>
      <c r="O528" s="20">
        <f t="shared" si="69"/>
        <v>1.7419354838709607E-2</v>
      </c>
      <c r="P528" s="20">
        <f t="shared" si="70"/>
        <v>-9.1340491860063457E-3</v>
      </c>
      <c r="Q528" s="20">
        <f t="shared" si="71"/>
        <v>-1.7585578384531255E-3</v>
      </c>
    </row>
    <row r="529" spans="1:17" x14ac:dyDescent="0.2">
      <c r="A529" s="1">
        <v>45330</v>
      </c>
      <c r="B529">
        <v>169.85</v>
      </c>
      <c r="C529">
        <v>57.63</v>
      </c>
      <c r="D529">
        <v>69.61</v>
      </c>
      <c r="E529" s="2">
        <v>4997.91</v>
      </c>
      <c r="F529" s="3">
        <f t="shared" si="64"/>
        <v>-3.5785521529978492E-3</v>
      </c>
      <c r="G529" s="3">
        <f t="shared" si="65"/>
        <v>-2.7686450943069651E-3</v>
      </c>
      <c r="H529" s="3">
        <f t="shared" si="66"/>
        <v>-6.5648637077208027E-3</v>
      </c>
      <c r="I529" s="3">
        <f t="shared" si="67"/>
        <v>5.7056371695218822E-4</v>
      </c>
      <c r="J529" s="11">
        <v>0.6</v>
      </c>
      <c r="K529" s="12">
        <v>0.26</v>
      </c>
      <c r="L529" s="13">
        <v>-0.38</v>
      </c>
      <c r="M529" s="21">
        <v>0.01</v>
      </c>
      <c r="N529" s="20">
        <f t="shared" si="68"/>
        <v>-1.3578552152997849E-2</v>
      </c>
      <c r="O529" s="20">
        <f t="shared" si="69"/>
        <v>-1.6564863707720805E-2</v>
      </c>
      <c r="P529" s="20">
        <f t="shared" si="70"/>
        <v>-1.2768645094306965E-2</v>
      </c>
      <c r="Q529" s="20">
        <f t="shared" si="71"/>
        <v>-9.429436283047812E-3</v>
      </c>
    </row>
    <row r="530" spans="1:17" x14ac:dyDescent="0.2">
      <c r="A530" s="1">
        <v>45331</v>
      </c>
      <c r="B530">
        <v>170.05</v>
      </c>
      <c r="C530">
        <v>57.37</v>
      </c>
      <c r="D530">
        <v>72.11</v>
      </c>
      <c r="E530" s="2">
        <v>5026.6099999999997</v>
      </c>
      <c r="F530" s="3">
        <f t="shared" si="64"/>
        <v>1.1775095672652558E-3</v>
      </c>
      <c r="G530" s="3">
        <f t="shared" si="65"/>
        <v>-4.5115391289259898E-3</v>
      </c>
      <c r="H530" s="3">
        <f t="shared" si="66"/>
        <v>3.5914380117799238E-2</v>
      </c>
      <c r="I530" s="3">
        <f t="shared" si="67"/>
        <v>5.7424003233350618E-3</v>
      </c>
      <c r="J530" s="13">
        <v>-7.0000000000000007E-2</v>
      </c>
      <c r="K530" s="12">
        <v>0.42</v>
      </c>
      <c r="L530" s="12">
        <v>0.13</v>
      </c>
      <c r="M530" s="21">
        <v>0.01</v>
      </c>
      <c r="N530" s="20">
        <f t="shared" si="68"/>
        <v>-8.8224904327347444E-3</v>
      </c>
      <c r="O530" s="20">
        <f t="shared" si="69"/>
        <v>2.5914380117799236E-2</v>
      </c>
      <c r="P530" s="20">
        <f t="shared" si="70"/>
        <v>-1.451153912892599E-2</v>
      </c>
      <c r="Q530" s="20">
        <f t="shared" si="71"/>
        <v>-4.2575996766649384E-3</v>
      </c>
    </row>
    <row r="531" spans="1:17" x14ac:dyDescent="0.2">
      <c r="A531" s="1">
        <v>45334</v>
      </c>
      <c r="B531">
        <v>170.81</v>
      </c>
      <c r="C531">
        <v>57.51</v>
      </c>
      <c r="D531">
        <v>72.22</v>
      </c>
      <c r="E531" s="2">
        <v>5021.84</v>
      </c>
      <c r="F531" s="3">
        <f t="shared" si="64"/>
        <v>4.4692737430167551E-3</v>
      </c>
      <c r="G531" s="3">
        <f t="shared" si="65"/>
        <v>2.440299808262214E-3</v>
      </c>
      <c r="H531" s="3">
        <f t="shared" si="66"/>
        <v>1.5254472333934288E-3</v>
      </c>
      <c r="I531" s="3">
        <f t="shared" si="67"/>
        <v>-9.4894968975101079E-4</v>
      </c>
      <c r="J531" s="15">
        <v>1.1299999999999999</v>
      </c>
      <c r="K531" s="13">
        <v>-0.26</v>
      </c>
      <c r="L531" s="12">
        <v>0.26</v>
      </c>
      <c r="M531" s="21">
        <v>0.01</v>
      </c>
      <c r="N531" s="20">
        <f t="shared" si="68"/>
        <v>-5.5307262569832451E-3</v>
      </c>
      <c r="O531" s="20">
        <f t="shared" si="69"/>
        <v>-8.4745527666065714E-3</v>
      </c>
      <c r="P531" s="20">
        <f t="shared" si="70"/>
        <v>-7.5597001917377862E-3</v>
      </c>
      <c r="Q531" s="20">
        <f t="shared" si="71"/>
        <v>-1.0948949689751011E-2</v>
      </c>
    </row>
    <row r="532" spans="1:17" x14ac:dyDescent="0.2">
      <c r="A532" s="1">
        <v>45335</v>
      </c>
      <c r="B532">
        <v>169.32</v>
      </c>
      <c r="C532">
        <v>57.17</v>
      </c>
      <c r="D532">
        <v>72.099999999999994</v>
      </c>
      <c r="E532" s="2">
        <v>4953.17</v>
      </c>
      <c r="F532" s="3">
        <f t="shared" si="64"/>
        <v>-8.7231426731456674E-3</v>
      </c>
      <c r="G532" s="3">
        <f t="shared" si="65"/>
        <v>-5.9120153016866128E-3</v>
      </c>
      <c r="H532" s="3">
        <f t="shared" si="66"/>
        <v>-1.6615895873719477E-3</v>
      </c>
      <c r="I532" s="3">
        <f t="shared" si="67"/>
        <v>-1.3674270785210219E-2</v>
      </c>
      <c r="J532" s="12">
        <v>0.34</v>
      </c>
      <c r="K532" s="12">
        <v>0.98</v>
      </c>
      <c r="L532" s="12">
        <v>0.14000000000000001</v>
      </c>
      <c r="M532" s="21">
        <v>0.01</v>
      </c>
      <c r="N532" s="20">
        <f t="shared" si="68"/>
        <v>-1.8723142673145669E-2</v>
      </c>
      <c r="O532" s="20">
        <f t="shared" si="69"/>
        <v>-1.1661589587371948E-2</v>
      </c>
      <c r="P532" s="20">
        <f t="shared" si="70"/>
        <v>-1.5912015301686615E-2</v>
      </c>
      <c r="Q532" s="20">
        <f t="shared" si="71"/>
        <v>-2.367427078521022E-2</v>
      </c>
    </row>
    <row r="533" spans="1:17" x14ac:dyDescent="0.2">
      <c r="A533" s="1">
        <v>45336</v>
      </c>
      <c r="B533">
        <v>171.04</v>
      </c>
      <c r="C533">
        <v>57.11</v>
      </c>
      <c r="D533">
        <v>73.87</v>
      </c>
      <c r="E533" s="2">
        <v>5000.62</v>
      </c>
      <c r="F533" s="3">
        <f t="shared" si="64"/>
        <v>1.0158280179541679E-2</v>
      </c>
      <c r="G533" s="3">
        <f t="shared" si="65"/>
        <v>-1.0495014867938357E-3</v>
      </c>
      <c r="H533" s="3">
        <f t="shared" si="66"/>
        <v>2.4549237170596427E-2</v>
      </c>
      <c r="I533" s="3">
        <f t="shared" si="67"/>
        <v>9.5797236921002504E-3</v>
      </c>
      <c r="J533" s="13">
        <v>-0.73</v>
      </c>
      <c r="K533" s="12">
        <v>0.33</v>
      </c>
      <c r="L533" s="13">
        <v>-0.21</v>
      </c>
      <c r="M533" s="21">
        <v>0.01</v>
      </c>
      <c r="N533" s="20">
        <f t="shared" si="68"/>
        <v>1.5828017954167863E-4</v>
      </c>
      <c r="O533" s="20">
        <f t="shared" si="69"/>
        <v>1.4549237170596427E-2</v>
      </c>
      <c r="P533" s="20">
        <f t="shared" si="70"/>
        <v>-1.1049501486793836E-2</v>
      </c>
      <c r="Q533" s="20">
        <f t="shared" si="71"/>
        <v>-4.2027630789974978E-4</v>
      </c>
    </row>
    <row r="534" spans="1:17" x14ac:dyDescent="0.2">
      <c r="A534" s="1">
        <v>45337</v>
      </c>
      <c r="B534">
        <v>174.77</v>
      </c>
      <c r="C534">
        <v>57.22</v>
      </c>
      <c r="D534">
        <v>72.63</v>
      </c>
      <c r="E534" s="2">
        <v>5029.7299999999996</v>
      </c>
      <c r="F534" s="3">
        <f t="shared" si="64"/>
        <v>2.1807764265668883E-2</v>
      </c>
      <c r="G534" s="3">
        <f t="shared" si="65"/>
        <v>1.9261075118193194E-3</v>
      </c>
      <c r="H534" s="3">
        <f t="shared" si="66"/>
        <v>-1.6786246108027703E-2</v>
      </c>
      <c r="I534" s="3">
        <f t="shared" si="67"/>
        <v>5.8212781615079034E-3</v>
      </c>
      <c r="J534" s="15">
        <v>1.41</v>
      </c>
      <c r="K534" s="12">
        <v>0.02</v>
      </c>
      <c r="L534" s="12">
        <v>0.96</v>
      </c>
      <c r="M534" s="21">
        <v>0.01</v>
      </c>
      <c r="N534" s="20">
        <f t="shared" si="68"/>
        <v>1.1807764265668883E-2</v>
      </c>
      <c r="O534" s="20">
        <f t="shared" si="69"/>
        <v>-2.6786246108027705E-2</v>
      </c>
      <c r="P534" s="20">
        <f t="shared" si="70"/>
        <v>-8.0738924881806808E-3</v>
      </c>
      <c r="Q534" s="20">
        <f t="shared" si="71"/>
        <v>-4.1787218384920968E-3</v>
      </c>
    </row>
    <row r="535" spans="1:17" x14ac:dyDescent="0.2">
      <c r="A535" s="1">
        <v>45338</v>
      </c>
      <c r="B535">
        <v>173.96</v>
      </c>
      <c r="C535">
        <v>57.21</v>
      </c>
      <c r="D535">
        <v>72.59</v>
      </c>
      <c r="E535" s="2">
        <v>5005.57</v>
      </c>
      <c r="F535" s="3">
        <f t="shared" si="64"/>
        <v>-4.6346626995480422E-3</v>
      </c>
      <c r="G535" s="3">
        <f t="shared" si="65"/>
        <v>-1.7476406850747139E-4</v>
      </c>
      <c r="H535" s="3">
        <f t="shared" si="66"/>
        <v>-5.5073661021609599E-4</v>
      </c>
      <c r="I535" s="3">
        <f t="shared" si="67"/>
        <v>-4.8034387531735723E-3</v>
      </c>
      <c r="J535" s="13">
        <v>-0.25</v>
      </c>
      <c r="K535" s="12">
        <v>0.54</v>
      </c>
      <c r="L535" s="13">
        <v>-0.44</v>
      </c>
      <c r="M535" s="21">
        <v>0.01</v>
      </c>
      <c r="N535" s="20">
        <f t="shared" si="68"/>
        <v>-1.4634662699548042E-2</v>
      </c>
      <c r="O535" s="20">
        <f t="shared" si="69"/>
        <v>-1.0550736610216096E-2</v>
      </c>
      <c r="P535" s="20">
        <f t="shared" si="70"/>
        <v>-1.0174764068507472E-2</v>
      </c>
      <c r="Q535" s="20">
        <f t="shared" si="71"/>
        <v>-1.4803438753173572E-2</v>
      </c>
    </row>
    <row r="536" spans="1:17" x14ac:dyDescent="0.2">
      <c r="A536" s="1">
        <v>45342</v>
      </c>
      <c r="B536">
        <v>174.64</v>
      </c>
      <c r="C536">
        <v>58.47</v>
      </c>
      <c r="D536">
        <v>69.430000000000007</v>
      </c>
      <c r="E536" s="2">
        <v>4975.51</v>
      </c>
      <c r="F536" s="3">
        <f t="shared" si="64"/>
        <v>3.9089445849618265E-3</v>
      </c>
      <c r="G536" s="3">
        <f t="shared" si="65"/>
        <v>2.202412165705292E-2</v>
      </c>
      <c r="H536" s="3">
        <f t="shared" si="66"/>
        <v>-4.3532166965146613E-2</v>
      </c>
      <c r="I536" s="3">
        <f t="shared" si="67"/>
        <v>-6.0053100845657292E-3</v>
      </c>
      <c r="J536" s="18">
        <v>1.4</v>
      </c>
      <c r="K536" s="12">
        <v>0.05</v>
      </c>
      <c r="L536" s="13">
        <v>-0.54</v>
      </c>
      <c r="M536" s="21">
        <v>0.01</v>
      </c>
      <c r="N536" s="20">
        <f t="shared" si="68"/>
        <v>-6.0910554150381737E-3</v>
      </c>
      <c r="O536" s="20">
        <f t="shared" si="69"/>
        <v>-5.3532166965146614E-2</v>
      </c>
      <c r="P536" s="20">
        <f t="shared" si="70"/>
        <v>1.2024121657052919E-2</v>
      </c>
      <c r="Q536" s="20">
        <f t="shared" si="71"/>
        <v>-1.6005310084565731E-2</v>
      </c>
    </row>
    <row r="537" spans="1:17" x14ac:dyDescent="0.2">
      <c r="A537" s="1">
        <v>45343</v>
      </c>
      <c r="B537">
        <v>175.77</v>
      </c>
      <c r="C537">
        <v>58.99</v>
      </c>
      <c r="D537">
        <v>67.45</v>
      </c>
      <c r="E537" s="2">
        <v>4981.8</v>
      </c>
      <c r="F537" s="3">
        <f t="shared" si="64"/>
        <v>6.4704535043520472E-3</v>
      </c>
      <c r="G537" s="3">
        <f t="shared" si="65"/>
        <v>8.8934496322901069E-3</v>
      </c>
      <c r="H537" s="3">
        <f t="shared" si="66"/>
        <v>-2.8517931729799884E-2</v>
      </c>
      <c r="I537" s="3">
        <f t="shared" si="67"/>
        <v>1.2641920124771833E-3</v>
      </c>
      <c r="J537" s="13">
        <v>-0.44</v>
      </c>
      <c r="K537" s="11">
        <v>0.1</v>
      </c>
      <c r="L537" s="13">
        <v>-0.19</v>
      </c>
      <c r="M537" s="21">
        <v>0.01</v>
      </c>
      <c r="N537" s="20">
        <f t="shared" si="68"/>
        <v>-3.529546495647953E-3</v>
      </c>
      <c r="O537" s="20">
        <f t="shared" si="69"/>
        <v>-3.8517931729799885E-2</v>
      </c>
      <c r="P537" s="20">
        <f t="shared" si="70"/>
        <v>-1.1065503677098933E-3</v>
      </c>
      <c r="Q537" s="20">
        <f t="shared" si="71"/>
        <v>-8.7358079875228169E-3</v>
      </c>
    </row>
    <row r="538" spans="1:17" x14ac:dyDescent="0.2">
      <c r="A538" s="1">
        <v>45344</v>
      </c>
      <c r="B538">
        <v>177.88</v>
      </c>
      <c r="C538">
        <v>58.9</v>
      </c>
      <c r="D538">
        <v>78.510000000000005</v>
      </c>
      <c r="E538" s="2">
        <v>5087.03</v>
      </c>
      <c r="F538" s="3">
        <f t="shared" si="64"/>
        <v>1.2004323832280672E-2</v>
      </c>
      <c r="G538" s="3">
        <f t="shared" si="65"/>
        <v>-1.5256823190371582E-3</v>
      </c>
      <c r="H538" s="3">
        <f t="shared" si="66"/>
        <v>0.16397331356560407</v>
      </c>
      <c r="I538" s="3">
        <f t="shared" si="67"/>
        <v>2.1122887309807714E-2</v>
      </c>
      <c r="J538" s="12">
        <v>0.52</v>
      </c>
      <c r="K538" s="14">
        <v>-0.3</v>
      </c>
      <c r="L538" s="12">
        <v>0.24</v>
      </c>
      <c r="M538" s="21">
        <v>0.01</v>
      </c>
      <c r="N538" s="20">
        <f t="shared" si="68"/>
        <v>2.004323832280672E-3</v>
      </c>
      <c r="O538" s="20">
        <f t="shared" si="69"/>
        <v>0.15397331356560406</v>
      </c>
      <c r="P538" s="20">
        <f t="shared" si="70"/>
        <v>-1.1525682319037158E-2</v>
      </c>
      <c r="Q538" s="20">
        <f t="shared" si="71"/>
        <v>1.1122887309807714E-2</v>
      </c>
    </row>
    <row r="539" spans="1:17" x14ac:dyDescent="0.2">
      <c r="A539" s="1">
        <v>45345</v>
      </c>
      <c r="B539">
        <v>178.78</v>
      </c>
      <c r="C539">
        <v>58.95</v>
      </c>
      <c r="D539">
        <v>78.790000000000006</v>
      </c>
      <c r="E539" s="2">
        <v>5088.8</v>
      </c>
      <c r="F539" s="3">
        <f t="shared" si="64"/>
        <v>5.0595907353272462E-3</v>
      </c>
      <c r="G539" s="3">
        <f t="shared" si="65"/>
        <v>8.4889643463514908E-4</v>
      </c>
      <c r="H539" s="3">
        <f t="shared" si="66"/>
        <v>3.5664246592790327E-3</v>
      </c>
      <c r="I539" s="3">
        <f t="shared" si="67"/>
        <v>3.4794369209545373E-4</v>
      </c>
      <c r="J539" s="13">
        <v>-0.68</v>
      </c>
      <c r="K539" s="12">
        <v>0.15</v>
      </c>
      <c r="L539" s="13">
        <v>-0.27</v>
      </c>
      <c r="M539" s="21">
        <v>0.01</v>
      </c>
      <c r="N539" s="20">
        <f t="shared" si="68"/>
        <v>-4.940409264672754E-3</v>
      </c>
      <c r="O539" s="20">
        <f t="shared" si="69"/>
        <v>-6.4335753407209675E-3</v>
      </c>
      <c r="P539" s="20">
        <f t="shared" si="70"/>
        <v>-9.1511035653648511E-3</v>
      </c>
      <c r="Q539" s="20">
        <f t="shared" si="71"/>
        <v>-9.6520563079045465E-3</v>
      </c>
    </row>
    <row r="540" spans="1:17" x14ac:dyDescent="0.2">
      <c r="A540" s="1">
        <v>45348</v>
      </c>
      <c r="B540">
        <v>178.16</v>
      </c>
      <c r="C540">
        <v>58.48</v>
      </c>
      <c r="D540">
        <v>79.06</v>
      </c>
      <c r="E540" s="2">
        <v>5069.53</v>
      </c>
      <c r="F540" s="3">
        <f t="shared" si="64"/>
        <v>-3.4679494350599027E-3</v>
      </c>
      <c r="G540" s="3">
        <f t="shared" si="65"/>
        <v>-7.9728583545378706E-3</v>
      </c>
      <c r="H540" s="3">
        <f t="shared" si="66"/>
        <v>3.4268308160934069E-3</v>
      </c>
      <c r="I540" s="3">
        <f t="shared" si="67"/>
        <v>-3.7867473667663187E-3</v>
      </c>
      <c r="J540" s="12">
        <v>0.02</v>
      </c>
      <c r="K540" s="12">
        <v>0.19</v>
      </c>
      <c r="L540" s="13">
        <v>-0.12</v>
      </c>
      <c r="M540" s="21">
        <v>0.01</v>
      </c>
      <c r="N540" s="20">
        <f t="shared" si="68"/>
        <v>-1.3467949435059903E-2</v>
      </c>
      <c r="O540" s="20">
        <f t="shared" si="69"/>
        <v>-6.5731691839065933E-3</v>
      </c>
      <c r="P540" s="20">
        <f t="shared" si="70"/>
        <v>-1.7972858354537873E-2</v>
      </c>
      <c r="Q540" s="20">
        <f t="shared" si="71"/>
        <v>-1.3786747366766319E-2</v>
      </c>
    </row>
    <row r="541" spans="1:17" x14ac:dyDescent="0.2">
      <c r="A541" s="1">
        <v>45349</v>
      </c>
      <c r="B541">
        <v>178.25</v>
      </c>
      <c r="C541">
        <v>58.12</v>
      </c>
      <c r="D541">
        <v>78.67</v>
      </c>
      <c r="E541" s="2">
        <v>5078.18</v>
      </c>
      <c r="F541" s="3">
        <f t="shared" si="64"/>
        <v>5.0516389762012004E-4</v>
      </c>
      <c r="G541" s="3">
        <f t="shared" si="65"/>
        <v>-6.1559507523939461E-3</v>
      </c>
      <c r="H541" s="3">
        <f t="shared" si="66"/>
        <v>-4.9329623071084905E-3</v>
      </c>
      <c r="I541" s="3">
        <f t="shared" si="67"/>
        <v>1.7062725735916828E-3</v>
      </c>
      <c r="J541" s="12">
        <v>0.57999999999999996</v>
      </c>
      <c r="K541" s="12">
        <v>0.62</v>
      </c>
      <c r="L541" s="12">
        <v>0.63</v>
      </c>
      <c r="M541" s="21">
        <v>0.01</v>
      </c>
      <c r="N541" s="20">
        <f t="shared" si="68"/>
        <v>-9.4948361023798802E-3</v>
      </c>
      <c r="O541" s="20">
        <f t="shared" si="69"/>
        <v>-1.4932962307108491E-2</v>
      </c>
      <c r="P541" s="20">
        <f t="shared" si="70"/>
        <v>-1.6155950752393948E-2</v>
      </c>
      <c r="Q541" s="20">
        <f t="shared" si="71"/>
        <v>-8.2937274264083174E-3</v>
      </c>
    </row>
    <row r="542" spans="1:17" x14ac:dyDescent="0.2">
      <c r="A542" s="1">
        <v>45350</v>
      </c>
      <c r="B542">
        <v>179.16</v>
      </c>
      <c r="C542">
        <v>58.18</v>
      </c>
      <c r="D542">
        <v>77.63</v>
      </c>
      <c r="E542" s="2">
        <v>5069.76</v>
      </c>
      <c r="F542" s="3">
        <f t="shared" si="64"/>
        <v>5.1051893408133875E-3</v>
      </c>
      <c r="G542" s="3">
        <f t="shared" si="65"/>
        <v>1.0323468685478066E-3</v>
      </c>
      <c r="H542" s="3">
        <f t="shared" si="66"/>
        <v>-1.321977882293135E-2</v>
      </c>
      <c r="I542" s="3">
        <f t="shared" si="67"/>
        <v>-1.6580743494716277E-3</v>
      </c>
      <c r="J542" s="17">
        <v>-1.33</v>
      </c>
      <c r="K542" s="12">
        <v>0.03</v>
      </c>
      <c r="L542" s="12">
        <v>0.12</v>
      </c>
      <c r="M542" s="21">
        <v>0.01</v>
      </c>
      <c r="N542" s="20">
        <f t="shared" si="68"/>
        <v>-4.8948106591866127E-3</v>
      </c>
      <c r="O542" s="20">
        <f t="shared" si="69"/>
        <v>-2.3219778822931351E-2</v>
      </c>
      <c r="P542" s="20">
        <f t="shared" si="70"/>
        <v>-8.9676531314521937E-3</v>
      </c>
      <c r="Q542" s="20">
        <f t="shared" si="71"/>
        <v>-1.1658074349471628E-2</v>
      </c>
    </row>
    <row r="543" spans="1:17" x14ac:dyDescent="0.2">
      <c r="A543" s="1">
        <v>45351</v>
      </c>
      <c r="B543">
        <v>180.79</v>
      </c>
      <c r="C543">
        <v>57.81</v>
      </c>
      <c r="D543">
        <v>79.08</v>
      </c>
      <c r="E543" s="2">
        <v>5096.2700000000004</v>
      </c>
      <c r="F543" s="3">
        <f t="shared" si="64"/>
        <v>9.098012949319001E-3</v>
      </c>
      <c r="G543" s="3">
        <f t="shared" si="65"/>
        <v>-6.3595737366792804E-3</v>
      </c>
      <c r="H543" s="3">
        <f t="shared" si="66"/>
        <v>1.8678346000257751E-2</v>
      </c>
      <c r="I543" s="3">
        <f t="shared" si="67"/>
        <v>5.229044372909275E-3</v>
      </c>
      <c r="J543" s="13">
        <v>-0.73</v>
      </c>
      <c r="K543" s="13">
        <v>-0.01</v>
      </c>
      <c r="L543" s="12">
        <v>0.32</v>
      </c>
      <c r="M543" s="21">
        <v>0.01</v>
      </c>
      <c r="N543" s="20">
        <f t="shared" si="68"/>
        <v>-9.0198705068099926E-4</v>
      </c>
      <c r="O543" s="20">
        <f t="shared" si="69"/>
        <v>8.6783460002577504E-3</v>
      </c>
      <c r="P543" s="20">
        <f t="shared" si="70"/>
        <v>-1.6359573736679282E-2</v>
      </c>
      <c r="Q543" s="20">
        <f t="shared" si="71"/>
        <v>-4.7709556270907252E-3</v>
      </c>
    </row>
    <row r="544" spans="1:17" x14ac:dyDescent="0.2">
      <c r="A544" s="1">
        <v>45352</v>
      </c>
      <c r="B544">
        <v>180.04</v>
      </c>
      <c r="C544">
        <v>57.34</v>
      </c>
      <c r="D544">
        <v>82.25</v>
      </c>
      <c r="E544" s="2">
        <v>5137.08</v>
      </c>
      <c r="F544" s="3">
        <f t="shared" si="64"/>
        <v>-4.1484595386912515E-3</v>
      </c>
      <c r="G544" s="3">
        <f t="shared" si="65"/>
        <v>-8.1300813008129413E-3</v>
      </c>
      <c r="H544" s="3">
        <f t="shared" si="66"/>
        <v>4.0085988872028411E-2</v>
      </c>
      <c r="I544" s="3">
        <f t="shared" si="67"/>
        <v>8.0078174821975878E-3</v>
      </c>
      <c r="J544" s="12">
        <v>0.36</v>
      </c>
      <c r="K544" s="12">
        <v>0.03</v>
      </c>
      <c r="L544" s="11">
        <v>0</v>
      </c>
      <c r="M544" s="21">
        <v>0.01</v>
      </c>
      <c r="N544" s="20">
        <f t="shared" si="68"/>
        <v>-1.4148459538691252E-2</v>
      </c>
      <c r="O544" s="20">
        <f t="shared" si="69"/>
        <v>3.0085988872028409E-2</v>
      </c>
      <c r="P544" s="20">
        <f t="shared" si="70"/>
        <v>-1.8130081300812943E-2</v>
      </c>
      <c r="Q544" s="20">
        <f t="shared" si="71"/>
        <v>-1.9921825178024124E-3</v>
      </c>
    </row>
    <row r="545" spans="1:17" x14ac:dyDescent="0.2">
      <c r="A545" s="1">
        <v>45355</v>
      </c>
      <c r="B545">
        <v>181.39</v>
      </c>
      <c r="C545">
        <v>57.61</v>
      </c>
      <c r="D545">
        <v>85.21</v>
      </c>
      <c r="E545" s="2">
        <v>5130.95</v>
      </c>
      <c r="F545" s="3">
        <f t="shared" si="64"/>
        <v>7.4983337036214071E-3</v>
      </c>
      <c r="G545" s="3">
        <f t="shared" si="65"/>
        <v>4.7087547959538956E-3</v>
      </c>
      <c r="H545" s="3">
        <f t="shared" si="66"/>
        <v>3.598784194528859E-2</v>
      </c>
      <c r="I545" s="3">
        <f t="shared" si="67"/>
        <v>-1.1932849011501157E-3</v>
      </c>
      <c r="J545" s="12">
        <v>0.73</v>
      </c>
      <c r="K545" s="13">
        <v>-7.0000000000000007E-2</v>
      </c>
      <c r="L545" s="15">
        <v>1.47</v>
      </c>
      <c r="M545" s="21">
        <v>0.01</v>
      </c>
      <c r="N545" s="20">
        <f t="shared" si="68"/>
        <v>-2.5016662963785932E-3</v>
      </c>
      <c r="O545" s="20">
        <f t="shared" si="69"/>
        <v>2.5987841945288588E-2</v>
      </c>
      <c r="P545" s="20">
        <f t="shared" si="70"/>
        <v>-5.2912452040461046E-3</v>
      </c>
      <c r="Q545" s="20">
        <f t="shared" si="71"/>
        <v>-1.1193284901150116E-2</v>
      </c>
    </row>
    <row r="546" spans="1:17" x14ac:dyDescent="0.2">
      <c r="A546" s="1">
        <v>45356</v>
      </c>
      <c r="B546">
        <v>183.21</v>
      </c>
      <c r="C546">
        <v>57.33</v>
      </c>
      <c r="D546">
        <v>85.94</v>
      </c>
      <c r="E546" s="2">
        <v>5078.6499999999996</v>
      </c>
      <c r="F546" s="3">
        <f t="shared" si="64"/>
        <v>1.0033629196758431E-2</v>
      </c>
      <c r="G546" s="3">
        <f t="shared" si="65"/>
        <v>-4.860267314702349E-3</v>
      </c>
      <c r="H546" s="3">
        <f t="shared" si="66"/>
        <v>8.5670695927708707E-3</v>
      </c>
      <c r="I546" s="3">
        <f t="shared" si="67"/>
        <v>-1.0193044173106403E-2</v>
      </c>
      <c r="J546" s="12">
        <v>0.63</v>
      </c>
      <c r="K546" s="12">
        <v>0.14000000000000001</v>
      </c>
      <c r="L546" s="12">
        <v>0.61</v>
      </c>
      <c r="M546" s="21">
        <v>0.01</v>
      </c>
      <c r="N546" s="20">
        <f t="shared" si="68"/>
        <v>3.3629196758431026E-5</v>
      </c>
      <c r="O546" s="20">
        <f t="shared" si="69"/>
        <v>-1.4329304072291296E-3</v>
      </c>
      <c r="P546" s="20">
        <f t="shared" si="70"/>
        <v>-1.4860267314702349E-2</v>
      </c>
      <c r="Q546" s="20">
        <f t="shared" si="71"/>
        <v>-2.0193044173106404E-2</v>
      </c>
    </row>
    <row r="547" spans="1:17" x14ac:dyDescent="0.2">
      <c r="A547" s="1">
        <v>45357</v>
      </c>
      <c r="B547">
        <v>184.16</v>
      </c>
      <c r="C547">
        <v>57.36</v>
      </c>
      <c r="D547">
        <v>88.67</v>
      </c>
      <c r="E547" s="2">
        <v>5104.76</v>
      </c>
      <c r="F547" s="3">
        <f t="shared" si="64"/>
        <v>5.1853064789040282E-3</v>
      </c>
      <c r="G547" s="3">
        <f t="shared" si="65"/>
        <v>5.2328623757191828E-4</v>
      </c>
      <c r="H547" s="3">
        <f t="shared" si="66"/>
        <v>3.1766348615313023E-2</v>
      </c>
      <c r="I547" s="3">
        <f t="shared" si="67"/>
        <v>5.1411300247115044E-3</v>
      </c>
      <c r="J547" s="15">
        <v>1.04</v>
      </c>
      <c r="K547" s="13">
        <v>-0.13</v>
      </c>
      <c r="L547" s="12">
        <v>0.46</v>
      </c>
      <c r="M547" s="21">
        <v>0.01</v>
      </c>
      <c r="N547" s="20">
        <f t="shared" si="68"/>
        <v>-4.814693521095972E-3</v>
      </c>
      <c r="O547" s="20">
        <f t="shared" si="69"/>
        <v>2.1766348615313021E-2</v>
      </c>
      <c r="P547" s="20">
        <f t="shared" si="70"/>
        <v>-9.4767137624280819E-3</v>
      </c>
      <c r="Q547" s="20">
        <f t="shared" si="71"/>
        <v>-4.8588699752884958E-3</v>
      </c>
    </row>
    <row r="548" spans="1:17" x14ac:dyDescent="0.2">
      <c r="A548" s="1">
        <v>45358</v>
      </c>
      <c r="B548">
        <v>182.55</v>
      </c>
      <c r="C548">
        <v>57.26</v>
      </c>
      <c r="D548">
        <v>92.64</v>
      </c>
      <c r="E548" s="2">
        <v>5157.3599999999997</v>
      </c>
      <c r="F548" s="3">
        <f t="shared" si="64"/>
        <v>-8.7423979148565367E-3</v>
      </c>
      <c r="G548" s="3">
        <f t="shared" si="65"/>
        <v>-1.7433751743375359E-3</v>
      </c>
      <c r="H548" s="3">
        <f t="shared" si="66"/>
        <v>4.4772752904026047E-2</v>
      </c>
      <c r="I548" s="3">
        <f t="shared" si="67"/>
        <v>1.0304108322428451E-2</v>
      </c>
      <c r="J548" s="11">
        <v>0.5</v>
      </c>
      <c r="K548" s="13">
        <v>-0.17</v>
      </c>
      <c r="L548" s="13">
        <v>-0.06</v>
      </c>
      <c r="M548" s="21">
        <v>0.01</v>
      </c>
      <c r="N548" s="20">
        <f t="shared" si="68"/>
        <v>-1.8742397914856539E-2</v>
      </c>
      <c r="O548" s="20">
        <f t="shared" si="69"/>
        <v>3.4772752904026046E-2</v>
      </c>
      <c r="P548" s="20">
        <f t="shared" si="70"/>
        <v>-1.1743375174337536E-2</v>
      </c>
      <c r="Q548" s="20">
        <f t="shared" si="71"/>
        <v>3.0410832242845111E-4</v>
      </c>
    </row>
    <row r="549" spans="1:17" x14ac:dyDescent="0.2">
      <c r="A549" s="1">
        <v>45359</v>
      </c>
      <c r="B549">
        <v>182.89</v>
      </c>
      <c r="C549">
        <v>57.33</v>
      </c>
      <c r="D549">
        <v>87.5</v>
      </c>
      <c r="E549" s="2">
        <v>5123.6899999999996</v>
      </c>
      <c r="F549" s="3">
        <f t="shared" si="64"/>
        <v>1.8625034237194082E-3</v>
      </c>
      <c r="G549" s="3">
        <f t="shared" si="65"/>
        <v>1.2224938875304847E-3</v>
      </c>
      <c r="H549" s="3">
        <f t="shared" si="66"/>
        <v>-5.5483592400690895E-2</v>
      </c>
      <c r="I549" s="3">
        <f t="shared" si="67"/>
        <v>-6.5285339786247398E-3</v>
      </c>
      <c r="J549" s="12">
        <v>0.06</v>
      </c>
      <c r="K549" s="12">
        <v>0.24</v>
      </c>
      <c r="L549" s="13">
        <v>-0.54</v>
      </c>
      <c r="M549" s="21">
        <v>0.01</v>
      </c>
      <c r="N549" s="20">
        <f t="shared" si="68"/>
        <v>-8.137496576280592E-3</v>
      </c>
      <c r="O549" s="20">
        <f t="shared" si="69"/>
        <v>-6.548359240069089E-2</v>
      </c>
      <c r="P549" s="20">
        <f t="shared" si="70"/>
        <v>-8.7775061124695155E-3</v>
      </c>
      <c r="Q549" s="20">
        <f t="shared" si="71"/>
        <v>-1.6528533978624742E-2</v>
      </c>
    </row>
    <row r="550" spans="1:17" x14ac:dyDescent="0.2">
      <c r="A550" s="1">
        <v>45362</v>
      </c>
      <c r="B550">
        <v>182.95</v>
      </c>
      <c r="C550">
        <v>58.03</v>
      </c>
      <c r="D550">
        <v>85.75</v>
      </c>
      <c r="E550" s="2">
        <v>5117.9399999999996</v>
      </c>
      <c r="F550" s="3">
        <f t="shared" si="64"/>
        <v>3.2806605063151473E-4</v>
      </c>
      <c r="G550" s="3">
        <f t="shared" si="65"/>
        <v>1.2210012210012167E-2</v>
      </c>
      <c r="H550" s="3">
        <f t="shared" si="66"/>
        <v>-2.0000000000000018E-2</v>
      </c>
      <c r="I550" s="3">
        <f t="shared" si="67"/>
        <v>-1.1222380745127269E-3</v>
      </c>
      <c r="J550" s="12">
        <v>0.26</v>
      </c>
      <c r="K550" s="12">
        <v>0.18</v>
      </c>
      <c r="L550" s="12">
        <v>0.47</v>
      </c>
      <c r="M550" s="20">
        <v>1.4999999999999999E-2</v>
      </c>
      <c r="N550" s="20">
        <f t="shared" si="68"/>
        <v>-1.4671933949368485E-2</v>
      </c>
      <c r="O550" s="20">
        <f t="shared" si="69"/>
        <v>-3.5000000000000017E-2</v>
      </c>
      <c r="P550" s="20">
        <f t="shared" si="70"/>
        <v>-2.7899877899878328E-3</v>
      </c>
      <c r="Q550" s="20">
        <f t="shared" si="71"/>
        <v>-1.6122238074512726E-2</v>
      </c>
    </row>
    <row r="551" spans="1:17" x14ac:dyDescent="0.2">
      <c r="A551" s="1">
        <v>45363</v>
      </c>
      <c r="B551">
        <v>184.46</v>
      </c>
      <c r="C551">
        <v>58.28</v>
      </c>
      <c r="D551">
        <v>91.88</v>
      </c>
      <c r="E551" s="2">
        <v>5175.2700000000004</v>
      </c>
      <c r="F551" s="3">
        <f t="shared" si="64"/>
        <v>8.253621207980455E-3</v>
      </c>
      <c r="G551" s="3">
        <f t="shared" si="65"/>
        <v>4.3081164914700043E-3</v>
      </c>
      <c r="H551" s="3">
        <f t="shared" si="66"/>
        <v>7.1486880466472336E-2</v>
      </c>
      <c r="I551" s="3">
        <f t="shared" si="67"/>
        <v>1.1201772588189884E-2</v>
      </c>
      <c r="J551" s="12">
        <v>0.08</v>
      </c>
      <c r="K551" s="12">
        <v>0.36</v>
      </c>
      <c r="L551" s="13">
        <v>-0.21</v>
      </c>
      <c r="M551" s="20">
        <v>1.4999999999999999E-2</v>
      </c>
      <c r="N551" s="20">
        <f t="shared" si="68"/>
        <v>-6.7463787920195445E-3</v>
      </c>
      <c r="O551" s="20">
        <f t="shared" si="69"/>
        <v>5.6486880466472336E-2</v>
      </c>
      <c r="P551" s="20">
        <f t="shared" si="70"/>
        <v>-1.0691883508529995E-2</v>
      </c>
      <c r="Q551" s="20">
        <f t="shared" si="71"/>
        <v>-3.798227411810115E-3</v>
      </c>
    </row>
    <row r="552" spans="1:17" x14ac:dyDescent="0.2">
      <c r="A552" s="1">
        <v>45364</v>
      </c>
      <c r="B552">
        <v>185.96</v>
      </c>
      <c r="C552">
        <v>58.87</v>
      </c>
      <c r="D552">
        <v>90.86</v>
      </c>
      <c r="E552" s="2">
        <v>5165.3100000000004</v>
      </c>
      <c r="F552" s="3">
        <f t="shared" si="64"/>
        <v>8.1318443022877496E-3</v>
      </c>
      <c r="G552" s="3">
        <f t="shared" si="65"/>
        <v>1.012354152367867E-2</v>
      </c>
      <c r="H552" s="3">
        <f t="shared" si="66"/>
        <v>-1.1101436656508423E-2</v>
      </c>
      <c r="I552" s="3">
        <f t="shared" si="67"/>
        <v>-1.9245372705192221E-3</v>
      </c>
      <c r="J552" s="12">
        <v>0.39</v>
      </c>
      <c r="K552" s="12">
        <v>0.22</v>
      </c>
      <c r="L552" s="13">
        <v>-0.71</v>
      </c>
      <c r="M552" s="20">
        <v>1.4999999999999999E-2</v>
      </c>
      <c r="N552" s="20">
        <f t="shared" si="68"/>
        <v>-6.8681556977122499E-3</v>
      </c>
      <c r="O552" s="20">
        <f t="shared" si="69"/>
        <v>-2.6101436656508423E-2</v>
      </c>
      <c r="P552" s="20">
        <f t="shared" si="70"/>
        <v>-4.8764584763213298E-3</v>
      </c>
      <c r="Q552" s="20">
        <f t="shared" si="71"/>
        <v>-1.6924537270519222E-2</v>
      </c>
    </row>
    <row r="553" spans="1:17" x14ac:dyDescent="0.2">
      <c r="A553" s="1">
        <v>45365</v>
      </c>
      <c r="B553">
        <v>182.64</v>
      </c>
      <c r="C553">
        <v>58.74</v>
      </c>
      <c r="D553">
        <v>87.92</v>
      </c>
      <c r="E553" s="2">
        <v>5150.4799999999996</v>
      </c>
      <c r="F553" s="3">
        <f t="shared" si="64"/>
        <v>-1.7853301785330289E-2</v>
      </c>
      <c r="G553" s="3">
        <f t="shared" si="65"/>
        <v>-2.2082554781721608E-3</v>
      </c>
      <c r="H553" s="3">
        <f t="shared" si="66"/>
        <v>-3.2357473035439122E-2</v>
      </c>
      <c r="I553" s="3">
        <f t="shared" si="67"/>
        <v>-2.871076469757039E-3</v>
      </c>
      <c r="J553" s="15">
        <v>1.18</v>
      </c>
      <c r="K553" s="13">
        <v>-0.68</v>
      </c>
      <c r="L553" s="13">
        <v>-0.23</v>
      </c>
      <c r="M553" s="20">
        <v>1.4999999999999999E-2</v>
      </c>
      <c r="N553" s="20">
        <f t="shared" si="68"/>
        <v>-3.2853301785330288E-2</v>
      </c>
      <c r="O553" s="20">
        <f t="shared" si="69"/>
        <v>-4.7357473035439121E-2</v>
      </c>
      <c r="P553" s="20">
        <f t="shared" si="70"/>
        <v>-1.720825547817216E-2</v>
      </c>
      <c r="Q553" s="20">
        <f t="shared" si="71"/>
        <v>-1.7871076469757038E-2</v>
      </c>
    </row>
    <row r="554" spans="1:17" x14ac:dyDescent="0.2">
      <c r="A554" s="1">
        <v>45366</v>
      </c>
      <c r="B554">
        <v>184.91</v>
      </c>
      <c r="C554">
        <v>58.14</v>
      </c>
      <c r="D554">
        <v>87.81</v>
      </c>
      <c r="E554" s="2">
        <v>5117.09</v>
      </c>
      <c r="F554" s="3">
        <f t="shared" si="64"/>
        <v>1.242882172579951E-2</v>
      </c>
      <c r="G554" s="3">
        <f t="shared" si="65"/>
        <v>-1.0214504596527063E-2</v>
      </c>
      <c r="H554" s="3">
        <f t="shared" si="66"/>
        <v>-1.2511373976341611E-3</v>
      </c>
      <c r="I554" s="3">
        <f t="shared" si="67"/>
        <v>-6.4828909150214109E-3</v>
      </c>
      <c r="J554" s="12">
        <v>0.69</v>
      </c>
      <c r="K554" s="12">
        <v>0.32</v>
      </c>
      <c r="L554" s="13">
        <v>-0.23</v>
      </c>
      <c r="M554" s="20">
        <v>1.4999999999999999E-2</v>
      </c>
      <c r="N554" s="20">
        <f t="shared" si="68"/>
        <v>-2.5711782742004891E-3</v>
      </c>
      <c r="O554" s="20">
        <f t="shared" si="69"/>
        <v>-1.6251137397634161E-2</v>
      </c>
      <c r="P554" s="20">
        <f t="shared" si="70"/>
        <v>-2.5214504596527063E-2</v>
      </c>
      <c r="Q554" s="20">
        <f t="shared" si="71"/>
        <v>-2.148289091502141E-2</v>
      </c>
    </row>
    <row r="555" spans="1:17" x14ac:dyDescent="0.2">
      <c r="A555" s="1">
        <v>45369</v>
      </c>
      <c r="B555">
        <v>187.2</v>
      </c>
      <c r="C555">
        <v>58.38</v>
      </c>
      <c r="D555">
        <v>88.43</v>
      </c>
      <c r="E555" s="2">
        <v>5149.42</v>
      </c>
      <c r="F555" s="3">
        <f t="shared" si="64"/>
        <v>1.2384403223189677E-2</v>
      </c>
      <c r="G555" s="3">
        <f t="shared" si="65"/>
        <v>4.1279669762641635E-3</v>
      </c>
      <c r="H555" s="3">
        <f t="shared" si="66"/>
        <v>7.0606992369890431E-3</v>
      </c>
      <c r="I555" s="3">
        <f t="shared" si="67"/>
        <v>6.3180440445644859E-3</v>
      </c>
      <c r="J555" s="13">
        <v>-0.56000000000000005</v>
      </c>
      <c r="K555" s="13">
        <v>-0.13</v>
      </c>
      <c r="L555" s="14">
        <v>-0.3</v>
      </c>
      <c r="M555" s="20">
        <v>1.4999999999999999E-2</v>
      </c>
      <c r="N555" s="20">
        <f t="shared" si="68"/>
        <v>-2.6155967768103222E-3</v>
      </c>
      <c r="O555" s="20">
        <f t="shared" si="69"/>
        <v>-7.9393007630109563E-3</v>
      </c>
      <c r="P555" s="20">
        <f t="shared" si="70"/>
        <v>-1.0872033023735836E-2</v>
      </c>
      <c r="Q555" s="20">
        <f t="shared" si="71"/>
        <v>-8.6819559554355136E-3</v>
      </c>
    </row>
    <row r="556" spans="1:17" x14ac:dyDescent="0.2">
      <c r="A556" s="1">
        <v>45370</v>
      </c>
      <c r="B556">
        <v>188.3</v>
      </c>
      <c r="C556">
        <v>58.48</v>
      </c>
      <c r="D556">
        <v>89.37</v>
      </c>
      <c r="E556" s="2">
        <v>5178.51</v>
      </c>
      <c r="F556" s="3">
        <f t="shared" si="64"/>
        <v>5.8760683760685772E-3</v>
      </c>
      <c r="G556" s="3">
        <f t="shared" si="65"/>
        <v>1.7129153819799292E-3</v>
      </c>
      <c r="H556" s="3">
        <f t="shared" si="66"/>
        <v>1.0629876738663224E-2</v>
      </c>
      <c r="I556" s="3">
        <f t="shared" si="67"/>
        <v>5.6491799076401339E-3</v>
      </c>
      <c r="J556" s="12">
        <v>0.04</v>
      </c>
      <c r="K556" s="13">
        <v>-0.28999999999999998</v>
      </c>
      <c r="L556" s="12">
        <v>0.63</v>
      </c>
      <c r="M556" s="20">
        <v>1.4999999999999999E-2</v>
      </c>
      <c r="N556" s="20">
        <f t="shared" si="68"/>
        <v>-9.1239316239314222E-3</v>
      </c>
      <c r="O556" s="20">
        <f t="shared" si="69"/>
        <v>-4.3701232613367752E-3</v>
      </c>
      <c r="P556" s="20">
        <f t="shared" si="70"/>
        <v>-1.328708461802007E-2</v>
      </c>
      <c r="Q556" s="20">
        <f t="shared" si="71"/>
        <v>-9.3508200923598656E-3</v>
      </c>
    </row>
    <row r="557" spans="1:17" x14ac:dyDescent="0.2">
      <c r="A557" s="1">
        <v>45371</v>
      </c>
      <c r="B557">
        <v>190.77</v>
      </c>
      <c r="C557">
        <v>58.99</v>
      </c>
      <c r="D557">
        <v>90.34</v>
      </c>
      <c r="E557" s="2">
        <v>5224.62</v>
      </c>
      <c r="F557" s="3">
        <f t="shared" si="64"/>
        <v>1.3117365905469969E-2</v>
      </c>
      <c r="G557" s="3">
        <f t="shared" si="65"/>
        <v>8.720930232558155E-3</v>
      </c>
      <c r="H557" s="3">
        <f t="shared" si="66"/>
        <v>1.0853754056171061E-2</v>
      </c>
      <c r="I557" s="3">
        <f t="shared" si="67"/>
        <v>8.9041056211149883E-3</v>
      </c>
      <c r="J557" s="13">
        <v>-0.17</v>
      </c>
      <c r="K557" s="11">
        <v>0.4</v>
      </c>
      <c r="L557" s="13">
        <v>-0.42</v>
      </c>
      <c r="M557" s="20">
        <v>1.4999999999999999E-2</v>
      </c>
      <c r="N557" s="20">
        <f t="shared" si="68"/>
        <v>-1.8826340945300307E-3</v>
      </c>
      <c r="O557" s="20">
        <f t="shared" si="69"/>
        <v>-4.1462459438289384E-3</v>
      </c>
      <c r="P557" s="20">
        <f t="shared" si="70"/>
        <v>-6.2790697674418444E-3</v>
      </c>
      <c r="Q557" s="20">
        <f t="shared" si="71"/>
        <v>-6.0958943788850112E-3</v>
      </c>
    </row>
    <row r="558" spans="1:17" x14ac:dyDescent="0.2">
      <c r="A558" s="1">
        <v>45372</v>
      </c>
      <c r="B558">
        <v>193.42</v>
      </c>
      <c r="C558">
        <v>58.71</v>
      </c>
      <c r="D558">
        <v>91.4</v>
      </c>
      <c r="E558" s="2">
        <v>5241.53</v>
      </c>
      <c r="F558" s="3">
        <f t="shared" si="64"/>
        <v>1.3891073019866695E-2</v>
      </c>
      <c r="G558" s="3">
        <f t="shared" si="65"/>
        <v>-4.7465672147821714E-3</v>
      </c>
      <c r="H558" s="3">
        <f t="shared" si="66"/>
        <v>1.1733451405800288E-2</v>
      </c>
      <c r="I558" s="3">
        <f t="shared" si="67"/>
        <v>3.2365990253835353E-3</v>
      </c>
      <c r="J558" s="12">
        <v>0.77</v>
      </c>
      <c r="K558" s="12">
        <v>0.57999999999999996</v>
      </c>
      <c r="L558" s="13">
        <v>-0.59</v>
      </c>
      <c r="M558" s="20">
        <v>1.4999999999999999E-2</v>
      </c>
      <c r="N558" s="20">
        <f t="shared" si="68"/>
        <v>-1.108926980133304E-3</v>
      </c>
      <c r="O558" s="20">
        <f t="shared" si="69"/>
        <v>-3.2665485941997113E-3</v>
      </c>
      <c r="P558" s="20">
        <f t="shared" si="70"/>
        <v>-1.9746567214782171E-2</v>
      </c>
      <c r="Q558" s="20">
        <f t="shared" si="71"/>
        <v>-1.1763400974616464E-2</v>
      </c>
    </row>
    <row r="559" spans="1:17" x14ac:dyDescent="0.2">
      <c r="A559" s="1">
        <v>45373</v>
      </c>
      <c r="B559">
        <v>191.05</v>
      </c>
      <c r="C559">
        <v>58.73</v>
      </c>
      <c r="D559">
        <v>94.26</v>
      </c>
      <c r="E559" s="2">
        <v>5234.18</v>
      </c>
      <c r="F559" s="3">
        <f t="shared" si="64"/>
        <v>-1.2253127908179007E-2</v>
      </c>
      <c r="G559" s="3">
        <f t="shared" si="65"/>
        <v>3.4065746891487336E-4</v>
      </c>
      <c r="H559" s="3">
        <f t="shared" si="66"/>
        <v>3.1291028446389424E-2</v>
      </c>
      <c r="I559" s="3">
        <f t="shared" si="67"/>
        <v>-1.4022623165372838E-3</v>
      </c>
      <c r="J559" s="12">
        <v>0.49</v>
      </c>
      <c r="K559" s="12">
        <v>0.56999999999999995</v>
      </c>
      <c r="L559" s="12">
        <v>0.08</v>
      </c>
      <c r="M559" s="20">
        <v>1.4999999999999999E-2</v>
      </c>
      <c r="N559" s="20">
        <f t="shared" si="68"/>
        <v>-2.7253127908179006E-2</v>
      </c>
      <c r="O559" s="20">
        <f t="shared" si="69"/>
        <v>1.6291028446389424E-2</v>
      </c>
      <c r="P559" s="20">
        <f t="shared" si="70"/>
        <v>-1.4659342531085126E-2</v>
      </c>
      <c r="Q559" s="20">
        <f t="shared" si="71"/>
        <v>-1.6402262316537283E-2</v>
      </c>
    </row>
    <row r="560" spans="1:17" x14ac:dyDescent="0.2">
      <c r="A560" s="1">
        <v>45376</v>
      </c>
      <c r="B560">
        <v>189.3</v>
      </c>
      <c r="C560">
        <v>58.65</v>
      </c>
      <c r="D560">
        <v>94.97</v>
      </c>
      <c r="E560" s="2">
        <v>5218.1899999999996</v>
      </c>
      <c r="F560" s="3">
        <f t="shared" si="64"/>
        <v>-9.1599057838261944E-3</v>
      </c>
      <c r="G560" s="3">
        <f t="shared" si="65"/>
        <v>-1.3621658436914208E-3</v>
      </c>
      <c r="H560" s="3">
        <f t="shared" si="66"/>
        <v>7.5323573095691376E-3</v>
      </c>
      <c r="I560" s="3">
        <f t="shared" si="67"/>
        <v>-3.0549197773100945E-3</v>
      </c>
      <c r="J560" s="13">
        <v>-0.04</v>
      </c>
      <c r="K560" s="12">
        <v>0.81</v>
      </c>
      <c r="L560" s="13">
        <v>-0.59</v>
      </c>
      <c r="M560" s="20">
        <v>1.4999999999999999E-2</v>
      </c>
      <c r="N560" s="20">
        <f t="shared" si="68"/>
        <v>-2.4159905783826194E-2</v>
      </c>
      <c r="O560" s="20">
        <f t="shared" si="69"/>
        <v>-7.4676426904308618E-3</v>
      </c>
      <c r="P560" s="20">
        <f t="shared" si="70"/>
        <v>-1.636216584369142E-2</v>
      </c>
      <c r="Q560" s="20">
        <f t="shared" si="71"/>
        <v>-1.8054919777310094E-2</v>
      </c>
    </row>
    <row r="561" spans="1:17" x14ac:dyDescent="0.2">
      <c r="A561" s="1">
        <v>45377</v>
      </c>
      <c r="B561">
        <v>190.18</v>
      </c>
      <c r="C561">
        <v>58.78</v>
      </c>
      <c r="D561">
        <v>92.53</v>
      </c>
      <c r="E561" s="2">
        <v>5203.58</v>
      </c>
      <c r="F561" s="3">
        <f t="shared" si="64"/>
        <v>4.6487057580559821E-3</v>
      </c>
      <c r="G561" s="3">
        <f t="shared" si="65"/>
        <v>2.2165387894288457E-3</v>
      </c>
      <c r="H561" s="3">
        <f t="shared" si="66"/>
        <v>-2.5692323891755242E-2</v>
      </c>
      <c r="I561" s="3">
        <f t="shared" si="67"/>
        <v>-2.7998213940082506E-3</v>
      </c>
      <c r="J561" s="17">
        <v>-1.52</v>
      </c>
      <c r="K561" s="13">
        <v>-0.18</v>
      </c>
      <c r="L561" s="13">
        <v>-0.41</v>
      </c>
      <c r="M561" s="20">
        <v>1.4999999999999999E-2</v>
      </c>
      <c r="N561" s="20">
        <f t="shared" si="68"/>
        <v>-1.0351294241944017E-2</v>
      </c>
      <c r="O561" s="20">
        <f t="shared" si="69"/>
        <v>-4.0692323891755242E-2</v>
      </c>
      <c r="P561" s="20">
        <f t="shared" si="70"/>
        <v>-1.2783461210571154E-2</v>
      </c>
      <c r="Q561" s="20">
        <f t="shared" si="71"/>
        <v>-1.779982139400825E-2</v>
      </c>
    </row>
    <row r="562" spans="1:17" x14ac:dyDescent="0.2">
      <c r="A562" s="1">
        <v>45378</v>
      </c>
      <c r="B562">
        <v>193.87</v>
      </c>
      <c r="C562">
        <v>59.26</v>
      </c>
      <c r="D562">
        <v>90.22</v>
      </c>
      <c r="E562" s="2">
        <v>5248.49</v>
      </c>
      <c r="F562" s="3">
        <f t="shared" si="64"/>
        <v>1.9402671153643913E-2</v>
      </c>
      <c r="G562" s="3">
        <f t="shared" si="65"/>
        <v>8.1660428717249545E-3</v>
      </c>
      <c r="H562" s="3">
        <f t="shared" si="66"/>
        <v>-2.4964876256349355E-2</v>
      </c>
      <c r="I562" s="3">
        <f t="shared" si="67"/>
        <v>8.6305966277062662E-3</v>
      </c>
      <c r="J562" s="12">
        <v>0.47</v>
      </c>
      <c r="K562" s="13">
        <v>-0.28999999999999998</v>
      </c>
      <c r="L562" s="13">
        <v>-0.66</v>
      </c>
      <c r="M562" s="20">
        <v>1.4999999999999999E-2</v>
      </c>
      <c r="N562" s="20">
        <f t="shared" si="68"/>
        <v>4.4026711536439139E-3</v>
      </c>
      <c r="O562" s="20">
        <f t="shared" si="69"/>
        <v>-3.9964876256349355E-2</v>
      </c>
      <c r="P562" s="20">
        <f t="shared" si="70"/>
        <v>-6.833957128275045E-3</v>
      </c>
      <c r="Q562" s="20">
        <f t="shared" si="71"/>
        <v>-6.3694033722937332E-3</v>
      </c>
    </row>
    <row r="563" spans="1:17" x14ac:dyDescent="0.2">
      <c r="A563" s="1">
        <v>45379</v>
      </c>
      <c r="B563">
        <v>194.62</v>
      </c>
      <c r="C563">
        <v>59.4</v>
      </c>
      <c r="D563">
        <v>90.33</v>
      </c>
      <c r="E563" s="2">
        <v>5254.35</v>
      </c>
      <c r="F563" s="3">
        <f t="shared" si="64"/>
        <v>3.8685717233197803E-3</v>
      </c>
      <c r="G563" s="3">
        <f t="shared" si="65"/>
        <v>2.3624704691191933E-3</v>
      </c>
      <c r="H563" s="3">
        <f t="shared" si="66"/>
        <v>1.2192418532475102E-3</v>
      </c>
      <c r="I563" s="3">
        <f t="shared" si="67"/>
        <v>1.1165116061955249E-3</v>
      </c>
      <c r="J563" s="13">
        <v>-0.72</v>
      </c>
      <c r="K563" s="12">
        <v>0.13</v>
      </c>
      <c r="L563" s="18">
        <v>1.2</v>
      </c>
      <c r="M563" s="20">
        <v>1.4999999999999999E-2</v>
      </c>
      <c r="N563" s="20">
        <f t="shared" si="68"/>
        <v>-1.1131428276680219E-2</v>
      </c>
      <c r="O563" s="20">
        <f t="shared" si="69"/>
        <v>-1.3780758146752489E-2</v>
      </c>
      <c r="P563" s="20">
        <f t="shared" si="70"/>
        <v>-1.2637529530880806E-2</v>
      </c>
      <c r="Q563" s="20">
        <f t="shared" si="71"/>
        <v>-1.3883488393804475E-2</v>
      </c>
    </row>
    <row r="564" spans="1:17" x14ac:dyDescent="0.2">
      <c r="A564" s="1">
        <v>45383</v>
      </c>
      <c r="B564">
        <v>193.3</v>
      </c>
      <c r="C564">
        <v>58.92</v>
      </c>
      <c r="D564">
        <v>90.33</v>
      </c>
      <c r="E564" s="2">
        <v>5243.77</v>
      </c>
      <c r="F564" s="3">
        <f t="shared" si="64"/>
        <v>-6.7824478470865923E-3</v>
      </c>
      <c r="G564" s="3">
        <f t="shared" si="65"/>
        <v>-8.0808080808080218E-3</v>
      </c>
      <c r="H564" s="3">
        <f t="shared" si="66"/>
        <v>0</v>
      </c>
      <c r="I564" s="3">
        <f t="shared" si="67"/>
        <v>-2.0135697089078697E-3</v>
      </c>
      <c r="J564" s="17">
        <v>-1.1599999999999999</v>
      </c>
      <c r="K564" s="11">
        <v>0.6</v>
      </c>
      <c r="L564" s="13">
        <v>-0.18</v>
      </c>
      <c r="M564" s="20">
        <v>1.4999999999999999E-2</v>
      </c>
      <c r="N564" s="20">
        <f t="shared" si="68"/>
        <v>-2.1782447847086592E-2</v>
      </c>
      <c r="O564" s="20">
        <f t="shared" si="69"/>
        <v>-1.4999999999999999E-2</v>
      </c>
      <c r="P564" s="20">
        <f t="shared" si="70"/>
        <v>-2.3080808080808021E-2</v>
      </c>
      <c r="Q564" s="20">
        <f t="shared" si="71"/>
        <v>-1.7013569708907869E-2</v>
      </c>
    </row>
    <row r="565" spans="1:17" x14ac:dyDescent="0.2">
      <c r="A565" s="1">
        <v>45384</v>
      </c>
      <c r="B565">
        <v>193.23</v>
      </c>
      <c r="C565">
        <v>58.4</v>
      </c>
      <c r="D565">
        <v>89.42</v>
      </c>
      <c r="E565" s="2">
        <v>5205.8100000000004</v>
      </c>
      <c r="F565" s="3">
        <f t="shared" si="64"/>
        <v>-3.6213140196594829E-4</v>
      </c>
      <c r="G565" s="3">
        <f t="shared" si="65"/>
        <v>-8.8255261371351645E-3</v>
      </c>
      <c r="H565" s="3">
        <f t="shared" si="66"/>
        <v>-1.0074172478689247E-2</v>
      </c>
      <c r="I565" s="3">
        <f t="shared" si="67"/>
        <v>-7.2390665494481699E-3</v>
      </c>
      <c r="J565" s="17">
        <v>-1.41</v>
      </c>
      <c r="K565" s="13">
        <v>-0.49</v>
      </c>
      <c r="L565" s="13">
        <v>-0.56000000000000005</v>
      </c>
      <c r="M565" s="20">
        <v>1.4999999999999999E-2</v>
      </c>
      <c r="N565" s="20">
        <f t="shared" si="68"/>
        <v>-1.5362131401965948E-2</v>
      </c>
      <c r="O565" s="20">
        <f t="shared" si="69"/>
        <v>-2.5074172478689247E-2</v>
      </c>
      <c r="P565" s="20">
        <f t="shared" si="70"/>
        <v>-2.3825526137135164E-2</v>
      </c>
      <c r="Q565" s="20">
        <f t="shared" si="71"/>
        <v>-2.2239066549448169E-2</v>
      </c>
    </row>
    <row r="566" spans="1:17" x14ac:dyDescent="0.2">
      <c r="A566" s="1">
        <v>45385</v>
      </c>
      <c r="B566">
        <v>192.68</v>
      </c>
      <c r="C566">
        <v>58.09</v>
      </c>
      <c r="D566">
        <v>88.93</v>
      </c>
      <c r="E566" s="2">
        <v>5211.49</v>
      </c>
      <c r="F566" s="3">
        <f t="shared" si="64"/>
        <v>-2.8463489106245188E-3</v>
      </c>
      <c r="G566" s="3">
        <f t="shared" si="65"/>
        <v>-5.3082191780821075E-3</v>
      </c>
      <c r="H566" s="3">
        <f t="shared" si="66"/>
        <v>-5.4797584433011748E-3</v>
      </c>
      <c r="I566" s="3">
        <f t="shared" si="67"/>
        <v>1.0910886106099138E-3</v>
      </c>
      <c r="J566" s="15">
        <v>1.72</v>
      </c>
      <c r="K566" s="13">
        <v>-0.13</v>
      </c>
      <c r="L566" s="13">
        <v>-0.24</v>
      </c>
      <c r="M566" s="20">
        <v>1.4999999999999999E-2</v>
      </c>
      <c r="N566" s="20">
        <f t="shared" si="68"/>
        <v>-1.7846348910624518E-2</v>
      </c>
      <c r="O566" s="20">
        <f t="shared" si="69"/>
        <v>-2.0479758443301174E-2</v>
      </c>
      <c r="P566" s="20">
        <f t="shared" si="70"/>
        <v>-2.0308219178082107E-2</v>
      </c>
      <c r="Q566" s="20">
        <f t="shared" si="71"/>
        <v>-1.3908911389390086E-2</v>
      </c>
    </row>
    <row r="567" spans="1:17" x14ac:dyDescent="0.2">
      <c r="A567" s="1">
        <v>45386</v>
      </c>
      <c r="B567">
        <v>191.22</v>
      </c>
      <c r="C567">
        <v>57.58</v>
      </c>
      <c r="D567">
        <v>85.88</v>
      </c>
      <c r="E567" s="2">
        <v>5147.21</v>
      </c>
      <c r="F567" s="3">
        <f t="shared" si="64"/>
        <v>-7.5773302885613347E-3</v>
      </c>
      <c r="G567" s="3">
        <f t="shared" si="65"/>
        <v>-8.779480117059868E-3</v>
      </c>
      <c r="H567" s="3">
        <f t="shared" si="66"/>
        <v>-3.4296637805015351E-2</v>
      </c>
      <c r="I567" s="3">
        <f t="shared" si="67"/>
        <v>-1.2334284436888443E-2</v>
      </c>
      <c r="J567" s="12">
        <v>0.51</v>
      </c>
      <c r="K567" s="12">
        <v>0.62</v>
      </c>
      <c r="L567" s="12">
        <v>0.28999999999999998</v>
      </c>
      <c r="M567" s="20">
        <v>1.4999999999999999E-2</v>
      </c>
      <c r="N567" s="20">
        <f t="shared" si="68"/>
        <v>-2.2577330288561334E-2</v>
      </c>
      <c r="O567" s="20">
        <f t="shared" si="69"/>
        <v>-4.929663780501535E-2</v>
      </c>
      <c r="P567" s="20">
        <f t="shared" si="70"/>
        <v>-2.3779480117059867E-2</v>
      </c>
      <c r="Q567" s="20">
        <f t="shared" si="71"/>
        <v>-2.7334284436888442E-2</v>
      </c>
    </row>
    <row r="568" spans="1:17" x14ac:dyDescent="0.2">
      <c r="A568" s="1">
        <v>45387</v>
      </c>
      <c r="B568">
        <v>192.97</v>
      </c>
      <c r="C568">
        <v>57.78</v>
      </c>
      <c r="D568">
        <v>87.98</v>
      </c>
      <c r="E568" s="2">
        <v>5204.34</v>
      </c>
      <c r="F568" s="3">
        <f t="shared" si="64"/>
        <v>9.1517623679531201E-3</v>
      </c>
      <c r="G568" s="3">
        <f t="shared" si="65"/>
        <v>3.473428273706114E-3</v>
      </c>
      <c r="H568" s="3">
        <f t="shared" si="66"/>
        <v>2.4452724732184627E-2</v>
      </c>
      <c r="I568" s="3">
        <f t="shared" si="67"/>
        <v>1.1099216857287653E-2</v>
      </c>
      <c r="J568" s="11">
        <v>0.2</v>
      </c>
      <c r="K568" s="12">
        <v>0.32</v>
      </c>
      <c r="L568" s="13">
        <v>-0.03</v>
      </c>
      <c r="M568" s="20">
        <v>1.4999999999999999E-2</v>
      </c>
      <c r="N568" s="20">
        <f t="shared" si="68"/>
        <v>-5.8482376320468793E-3</v>
      </c>
      <c r="O568" s="20">
        <f t="shared" si="69"/>
        <v>9.4527247321846281E-3</v>
      </c>
      <c r="P568" s="20">
        <f t="shared" si="70"/>
        <v>-1.1526571726293885E-2</v>
      </c>
      <c r="Q568" s="20">
        <f t="shared" si="71"/>
        <v>-3.9007831427123468E-3</v>
      </c>
    </row>
    <row r="569" spans="1:17" x14ac:dyDescent="0.2">
      <c r="A569" s="1">
        <v>45390</v>
      </c>
      <c r="B569">
        <v>193.98</v>
      </c>
      <c r="C569">
        <v>57.55</v>
      </c>
      <c r="D569">
        <v>87.1</v>
      </c>
      <c r="E569" s="2">
        <v>5202.3900000000003</v>
      </c>
      <c r="F569" s="3">
        <f t="shared" si="64"/>
        <v>5.2339741928797423E-3</v>
      </c>
      <c r="G569" s="3">
        <f t="shared" si="65"/>
        <v>-3.980616130148884E-3</v>
      </c>
      <c r="H569" s="3">
        <f t="shared" si="66"/>
        <v>-1.0002273243919224E-2</v>
      </c>
      <c r="I569" s="3">
        <f t="shared" si="67"/>
        <v>-3.7468728023148934E-4</v>
      </c>
      <c r="J569" s="17">
        <v>-1.47</v>
      </c>
      <c r="K569" s="13">
        <v>-0.47</v>
      </c>
      <c r="L569" s="13">
        <v>-0.27</v>
      </c>
      <c r="M569" s="20">
        <v>1.4999999999999999E-2</v>
      </c>
      <c r="N569" s="20">
        <f t="shared" si="68"/>
        <v>-9.7660258071202571E-3</v>
      </c>
      <c r="O569" s="20">
        <f t="shared" si="69"/>
        <v>-2.5002273243919224E-2</v>
      </c>
      <c r="P569" s="20">
        <f t="shared" si="70"/>
        <v>-1.8980616130148883E-2</v>
      </c>
      <c r="Q569" s="20">
        <f t="shared" si="71"/>
        <v>-1.5374687280231489E-2</v>
      </c>
    </row>
    <row r="570" spans="1:17" x14ac:dyDescent="0.2">
      <c r="A570" s="1">
        <v>45391</v>
      </c>
      <c r="B570">
        <v>192.68</v>
      </c>
      <c r="C570">
        <v>57.99</v>
      </c>
      <c r="D570">
        <v>85.33</v>
      </c>
      <c r="E570" s="2">
        <v>5209.91</v>
      </c>
      <c r="F570" s="3">
        <f t="shared" si="64"/>
        <v>-6.7017218269923573E-3</v>
      </c>
      <c r="G570" s="3">
        <f t="shared" si="65"/>
        <v>7.6455256298870733E-3</v>
      </c>
      <c r="H570" s="3">
        <f t="shared" si="66"/>
        <v>-2.0321469575200868E-2</v>
      </c>
      <c r="I570" s="3">
        <f t="shared" si="67"/>
        <v>1.4454894769517779E-3</v>
      </c>
      <c r="J570" s="12">
        <v>0.88</v>
      </c>
      <c r="K570" s="13">
        <v>-0.32</v>
      </c>
      <c r="L570" s="14">
        <v>-0.1</v>
      </c>
      <c r="M570" s="20">
        <v>1.4999999999999999E-2</v>
      </c>
      <c r="N570" s="20">
        <f t="shared" si="68"/>
        <v>-2.1701721826992357E-2</v>
      </c>
      <c r="O570" s="20">
        <f t="shared" si="69"/>
        <v>-3.5321469575200867E-2</v>
      </c>
      <c r="P570" s="20">
        <f t="shared" si="70"/>
        <v>-7.3544743701129262E-3</v>
      </c>
      <c r="Q570" s="20">
        <f t="shared" si="71"/>
        <v>-1.3554510523048222E-2</v>
      </c>
    </row>
    <row r="571" spans="1:17" x14ac:dyDescent="0.2">
      <c r="A571" s="1">
        <v>45392</v>
      </c>
      <c r="B571">
        <v>191.04</v>
      </c>
      <c r="C571">
        <v>57.21</v>
      </c>
      <c r="D571">
        <v>87.01</v>
      </c>
      <c r="E571" s="2">
        <v>5160.6400000000003</v>
      </c>
      <c r="F571" s="3">
        <f t="shared" si="64"/>
        <v>-8.5115216940004901E-3</v>
      </c>
      <c r="G571" s="3">
        <f t="shared" si="65"/>
        <v>-1.3450594930160431E-2</v>
      </c>
      <c r="H571" s="3">
        <f t="shared" si="66"/>
        <v>1.9688269073010689E-2</v>
      </c>
      <c r="I571" s="3">
        <f t="shared" si="67"/>
        <v>-9.4569771838668437E-3</v>
      </c>
      <c r="J571" s="12">
        <v>0.94</v>
      </c>
      <c r="K571" s="12">
        <v>0.52</v>
      </c>
      <c r="L571" s="12">
        <v>0.17</v>
      </c>
      <c r="M571" s="20">
        <v>1.4999999999999999E-2</v>
      </c>
      <c r="N571" s="20">
        <f t="shared" si="68"/>
        <v>-2.351152169400049E-2</v>
      </c>
      <c r="O571" s="20">
        <f t="shared" si="69"/>
        <v>4.6882690730106896E-3</v>
      </c>
      <c r="P571" s="20">
        <f t="shared" si="70"/>
        <v>-2.8450594930160431E-2</v>
      </c>
      <c r="Q571" s="20">
        <f t="shared" si="71"/>
        <v>-2.4456977183866843E-2</v>
      </c>
    </row>
    <row r="572" spans="1:17" x14ac:dyDescent="0.2">
      <c r="A572" s="1">
        <v>45393</v>
      </c>
      <c r="B572">
        <v>191</v>
      </c>
      <c r="C572">
        <v>57.34</v>
      </c>
      <c r="D572">
        <v>90.59</v>
      </c>
      <c r="E572" s="2">
        <v>5199.0600000000004</v>
      </c>
      <c r="F572" s="3">
        <f t="shared" si="64"/>
        <v>-2.0938023450578491E-4</v>
      </c>
      <c r="G572" s="3">
        <f t="shared" si="65"/>
        <v>2.2723300122355905E-3</v>
      </c>
      <c r="H572" s="3">
        <f t="shared" si="66"/>
        <v>4.1144696011952586E-2</v>
      </c>
      <c r="I572" s="3">
        <f t="shared" si="67"/>
        <v>7.4448130464439544E-3</v>
      </c>
      <c r="J572" s="12">
        <v>0.31</v>
      </c>
      <c r="K572" s="13">
        <v>-0.04</v>
      </c>
      <c r="L572" s="13">
        <v>-0.34</v>
      </c>
      <c r="M572" s="20">
        <v>1.2E-2</v>
      </c>
      <c r="N572" s="20">
        <f t="shared" si="68"/>
        <v>-1.2209380234505785E-2</v>
      </c>
      <c r="O572" s="20">
        <f t="shared" si="69"/>
        <v>2.9144696011952586E-2</v>
      </c>
      <c r="P572" s="20">
        <f t="shared" si="70"/>
        <v>-9.7276699877644097E-3</v>
      </c>
      <c r="Q572" s="20">
        <f t="shared" si="71"/>
        <v>-4.5551869535560459E-3</v>
      </c>
    </row>
    <row r="573" spans="1:17" x14ac:dyDescent="0.2">
      <c r="A573" s="1">
        <v>45394</v>
      </c>
      <c r="B573">
        <v>178.65</v>
      </c>
      <c r="C573">
        <v>56.59</v>
      </c>
      <c r="D573">
        <v>88.16</v>
      </c>
      <c r="E573" s="2">
        <v>5123.41</v>
      </c>
      <c r="F573" s="3">
        <f t="shared" si="64"/>
        <v>-6.4659685863874272E-2</v>
      </c>
      <c r="G573" s="3">
        <f t="shared" si="65"/>
        <v>-1.3079874433205463E-2</v>
      </c>
      <c r="H573" s="3">
        <f t="shared" si="66"/>
        <v>-2.6824152776244725E-2</v>
      </c>
      <c r="I573" s="3">
        <f t="shared" si="67"/>
        <v>-1.4550707243232486E-2</v>
      </c>
      <c r="J573" s="12">
        <v>0.64</v>
      </c>
      <c r="K573" s="12">
        <v>0.33</v>
      </c>
      <c r="L573" s="13">
        <v>-7.0000000000000007E-2</v>
      </c>
      <c r="M573" s="20">
        <v>1.2E-2</v>
      </c>
      <c r="N573" s="20">
        <f t="shared" si="68"/>
        <v>-7.6659685863874269E-2</v>
      </c>
      <c r="O573" s="20">
        <f t="shared" si="69"/>
        <v>-3.8824152776244722E-2</v>
      </c>
      <c r="P573" s="20">
        <f t="shared" si="70"/>
        <v>-2.5079874433205463E-2</v>
      </c>
      <c r="Q573" s="20">
        <f t="shared" si="71"/>
        <v>-2.6550707243232486E-2</v>
      </c>
    </row>
    <row r="574" spans="1:17" x14ac:dyDescent="0.2">
      <c r="A574" s="1">
        <v>45397</v>
      </c>
      <c r="B574">
        <v>178.74</v>
      </c>
      <c r="C574">
        <v>56.45</v>
      </c>
      <c r="D574">
        <v>85.97</v>
      </c>
      <c r="E574" s="2">
        <v>5061.82</v>
      </c>
      <c r="F574" s="3">
        <f t="shared" si="64"/>
        <v>5.0377833753145751E-4</v>
      </c>
      <c r="G574" s="3">
        <f t="shared" si="65"/>
        <v>-2.4739353242622109E-3</v>
      </c>
      <c r="H574" s="3">
        <f t="shared" si="66"/>
        <v>-2.4841197822141559E-2</v>
      </c>
      <c r="I574" s="3">
        <f t="shared" si="67"/>
        <v>-1.2021290507689297E-2</v>
      </c>
      <c r="J574" s="17">
        <v>-1.85</v>
      </c>
      <c r="K574" s="12">
        <v>0.04</v>
      </c>
      <c r="L574" s="13">
        <v>-0.18</v>
      </c>
      <c r="M574" s="20">
        <v>1.2E-2</v>
      </c>
      <c r="N574" s="20">
        <f t="shared" si="68"/>
        <v>-1.1496221662468543E-2</v>
      </c>
      <c r="O574" s="20">
        <f t="shared" si="69"/>
        <v>-3.6841197822141555E-2</v>
      </c>
      <c r="P574" s="20">
        <f t="shared" si="70"/>
        <v>-1.4473935324262211E-2</v>
      </c>
      <c r="Q574" s="20">
        <f t="shared" si="71"/>
        <v>-2.4021290507689298E-2</v>
      </c>
    </row>
    <row r="575" spans="1:17" x14ac:dyDescent="0.2">
      <c r="A575" s="1">
        <v>45398</v>
      </c>
      <c r="B575">
        <v>176.7</v>
      </c>
      <c r="C575">
        <v>56.37</v>
      </c>
      <c r="D575">
        <v>87.39</v>
      </c>
      <c r="E575" s="2">
        <v>5051.41</v>
      </c>
      <c r="F575" s="3">
        <f t="shared" si="64"/>
        <v>-1.1413225914736591E-2</v>
      </c>
      <c r="G575" s="3">
        <f t="shared" si="65"/>
        <v>-1.4171833480957075E-3</v>
      </c>
      <c r="H575" s="3">
        <f t="shared" si="66"/>
        <v>1.6517389787135128E-2</v>
      </c>
      <c r="I575" s="3">
        <f t="shared" si="67"/>
        <v>-2.056572537150636E-3</v>
      </c>
      <c r="J575" s="12">
        <v>0.21</v>
      </c>
      <c r="K575" s="12">
        <v>0.34</v>
      </c>
      <c r="L575" s="13">
        <v>-7.0000000000000007E-2</v>
      </c>
      <c r="M575" s="20">
        <v>1.2E-2</v>
      </c>
      <c r="N575" s="20">
        <f t="shared" si="68"/>
        <v>-2.3413225914736591E-2</v>
      </c>
      <c r="O575" s="20">
        <f t="shared" si="69"/>
        <v>4.517389787135128E-3</v>
      </c>
      <c r="P575" s="20">
        <f t="shared" si="70"/>
        <v>-1.3417183348095708E-2</v>
      </c>
      <c r="Q575" s="20">
        <f t="shared" si="71"/>
        <v>-1.4056572537150636E-2</v>
      </c>
    </row>
    <row r="576" spans="1:17" x14ac:dyDescent="0.2">
      <c r="A576" s="1">
        <v>45399</v>
      </c>
      <c r="B576">
        <v>176</v>
      </c>
      <c r="C576">
        <v>56.81</v>
      </c>
      <c r="D576">
        <v>84.01</v>
      </c>
      <c r="E576" s="2">
        <v>5022.21</v>
      </c>
      <c r="F576" s="3">
        <f t="shared" si="64"/>
        <v>-3.9615166949631408E-3</v>
      </c>
      <c r="G576" s="3">
        <f t="shared" si="65"/>
        <v>7.8055703388328901E-3</v>
      </c>
      <c r="H576" s="3">
        <f t="shared" si="66"/>
        <v>-3.8677194186977903E-2</v>
      </c>
      <c r="I576" s="3">
        <f t="shared" si="67"/>
        <v>-5.780564238499708E-3</v>
      </c>
      <c r="J576" s="13">
        <v>-0.84</v>
      </c>
      <c r="K576" s="11">
        <v>0.4</v>
      </c>
      <c r="L576" s="12">
        <v>0.11</v>
      </c>
      <c r="M576" s="20">
        <v>1.2E-2</v>
      </c>
      <c r="N576" s="20">
        <f t="shared" si="68"/>
        <v>-1.5961516694963141E-2</v>
      </c>
      <c r="O576" s="20">
        <f t="shared" si="69"/>
        <v>-5.06771941869779E-2</v>
      </c>
      <c r="P576" s="20">
        <f t="shared" si="70"/>
        <v>-4.1944296611671102E-3</v>
      </c>
      <c r="Q576" s="20">
        <f t="shared" si="71"/>
        <v>-1.7780564238499708E-2</v>
      </c>
    </row>
    <row r="577" spans="1:17" x14ac:dyDescent="0.2">
      <c r="A577" s="1">
        <v>45400</v>
      </c>
      <c r="B577">
        <v>177.14</v>
      </c>
      <c r="C577">
        <v>57.2</v>
      </c>
      <c r="D577">
        <v>84.64</v>
      </c>
      <c r="E577" s="2">
        <v>5011.12</v>
      </c>
      <c r="F577" s="3">
        <f t="shared" si="64"/>
        <v>6.4772727272726094E-3</v>
      </c>
      <c r="G577" s="3">
        <f t="shared" si="65"/>
        <v>6.8649885583524917E-3</v>
      </c>
      <c r="H577" s="3">
        <f t="shared" si="66"/>
        <v>7.4991072491370492E-3</v>
      </c>
      <c r="I577" s="3">
        <f t="shared" si="67"/>
        <v>-2.2081912146246774E-3</v>
      </c>
      <c r="J577" s="13">
        <v>-0.52</v>
      </c>
      <c r="K577" s="13">
        <v>-0.77</v>
      </c>
      <c r="L577" s="13">
        <v>-0.78</v>
      </c>
      <c r="M577" s="20">
        <v>1.2E-2</v>
      </c>
      <c r="N577" s="20">
        <f t="shared" si="68"/>
        <v>-5.5227272727273909E-3</v>
      </c>
      <c r="O577" s="20">
        <f t="shared" si="69"/>
        <v>-4.5008927508629511E-3</v>
      </c>
      <c r="P577" s="20">
        <f t="shared" si="70"/>
        <v>-5.1350114416475086E-3</v>
      </c>
      <c r="Q577" s="20">
        <f t="shared" si="71"/>
        <v>-1.4208191214624678E-2</v>
      </c>
    </row>
    <row r="578" spans="1:17" x14ac:dyDescent="0.2">
      <c r="A578" s="1">
        <v>45401</v>
      </c>
      <c r="B578">
        <v>181.59</v>
      </c>
      <c r="C578">
        <v>58.42</v>
      </c>
      <c r="D578">
        <v>76.17</v>
      </c>
      <c r="E578" s="2">
        <v>4967.2299999999996</v>
      </c>
      <c r="F578" s="3">
        <f t="shared" si="64"/>
        <v>2.5121372925369867E-2</v>
      </c>
      <c r="G578" s="3">
        <f t="shared" si="65"/>
        <v>2.1328671328671334E-2</v>
      </c>
      <c r="H578" s="3">
        <f t="shared" si="66"/>
        <v>-0.10007088846880907</v>
      </c>
      <c r="I578" s="3">
        <f t="shared" si="67"/>
        <v>-8.7585210491867294E-3</v>
      </c>
      <c r="J578" s="17">
        <v>-1.38</v>
      </c>
      <c r="K578" s="13">
        <v>-0.19</v>
      </c>
      <c r="L578" s="13">
        <v>-0.74</v>
      </c>
      <c r="M578" s="20">
        <v>1.2E-2</v>
      </c>
      <c r="N578" s="20">
        <f t="shared" si="68"/>
        <v>1.3121372925369867E-2</v>
      </c>
      <c r="O578" s="20">
        <f t="shared" si="69"/>
        <v>-0.11207088846880907</v>
      </c>
      <c r="P578" s="20">
        <f t="shared" si="70"/>
        <v>9.3286713286713334E-3</v>
      </c>
      <c r="Q578" s="20">
        <f t="shared" si="71"/>
        <v>-2.075852104918673E-2</v>
      </c>
    </row>
    <row r="579" spans="1:17" x14ac:dyDescent="0.2">
      <c r="A579" s="1">
        <v>45404</v>
      </c>
      <c r="B579">
        <v>185.12</v>
      </c>
      <c r="C579">
        <v>58.79</v>
      </c>
      <c r="D579">
        <v>79.489999999999995</v>
      </c>
      <c r="E579" s="2">
        <v>5010.6000000000004</v>
      </c>
      <c r="F579" s="3">
        <f t="shared" si="64"/>
        <v>1.943939644253545E-2</v>
      </c>
      <c r="G579" s="3">
        <f t="shared" si="65"/>
        <v>6.3334474495035931E-3</v>
      </c>
      <c r="H579" s="3">
        <f t="shared" si="66"/>
        <v>4.3586713929368415E-2</v>
      </c>
      <c r="I579" s="3">
        <f t="shared" si="67"/>
        <v>8.7312244450128418E-3</v>
      </c>
      <c r="J579" s="16">
        <v>-1.3</v>
      </c>
      <c r="K579" s="13">
        <v>-0.24</v>
      </c>
      <c r="L579" s="13">
        <v>-0.27</v>
      </c>
      <c r="M579" s="20">
        <v>1.2E-2</v>
      </c>
      <c r="N579" s="20">
        <f t="shared" si="68"/>
        <v>7.4393964425354502E-3</v>
      </c>
      <c r="O579" s="20">
        <f t="shared" si="69"/>
        <v>3.1586713929368418E-2</v>
      </c>
      <c r="P579" s="20">
        <f t="shared" si="70"/>
        <v>-5.6665525504964072E-3</v>
      </c>
      <c r="Q579" s="20">
        <f t="shared" si="71"/>
        <v>-3.2687755549871585E-3</v>
      </c>
    </row>
    <row r="580" spans="1:17" x14ac:dyDescent="0.2">
      <c r="A580" s="1">
        <v>45405</v>
      </c>
      <c r="B580">
        <v>187.78</v>
      </c>
      <c r="C580">
        <v>58.88</v>
      </c>
      <c r="D580">
        <v>82.4</v>
      </c>
      <c r="E580" s="2">
        <v>5070.55</v>
      </c>
      <c r="F580" s="3">
        <f t="shared" ref="F580:F643" si="72">(B580/B579)-1</f>
        <v>1.436905790838372E-2</v>
      </c>
      <c r="G580" s="3">
        <f t="shared" ref="G580:G643" si="73">(C580/C579)-1</f>
        <v>1.5308725973806059E-3</v>
      </c>
      <c r="H580" s="3">
        <f t="shared" ref="H580:H643" si="74">(D580/D579)-1</f>
        <v>3.6608378412378961E-2</v>
      </c>
      <c r="I580" s="3">
        <f t="shared" ref="I580:I643" si="75">(E580/E579)-1</f>
        <v>1.1964634973855359E-2</v>
      </c>
      <c r="J580" s="17">
        <v>-2.31</v>
      </c>
      <c r="K580" s="17">
        <v>-1.1399999999999999</v>
      </c>
      <c r="L580" s="13">
        <v>-0.37</v>
      </c>
      <c r="M580" s="20">
        <v>1.2E-2</v>
      </c>
      <c r="N580" s="20">
        <f t="shared" ref="N580:N643" si="76">F580-M580</f>
        <v>2.3690579083837197E-3</v>
      </c>
      <c r="O580" s="20">
        <f t="shared" ref="O580:O643" si="77">H580-M580</f>
        <v>2.4608378412378961E-2</v>
      </c>
      <c r="P580" s="20">
        <f t="shared" ref="P580:P643" si="78">G580-M580</f>
        <v>-1.0469127402619394E-2</v>
      </c>
      <c r="Q580" s="20">
        <f t="shared" ref="Q580:Q643" si="79">I580-M580</f>
        <v>-3.5365026144641015E-5</v>
      </c>
    </row>
    <row r="581" spans="1:17" x14ac:dyDescent="0.2">
      <c r="A581" s="1">
        <v>45406</v>
      </c>
      <c r="B581">
        <v>188.7</v>
      </c>
      <c r="C581">
        <v>59.76</v>
      </c>
      <c r="D581">
        <v>79.650000000000006</v>
      </c>
      <c r="E581" s="2">
        <v>5071.63</v>
      </c>
      <c r="F581" s="3">
        <f t="shared" si="72"/>
        <v>4.8993503035466013E-3</v>
      </c>
      <c r="G581" s="3">
        <f t="shared" si="73"/>
        <v>1.494565217391286E-2</v>
      </c>
      <c r="H581" s="3">
        <f t="shared" si="74"/>
        <v>-3.3373786407767003E-2</v>
      </c>
      <c r="I581" s="3">
        <f t="shared" si="75"/>
        <v>2.129946455513565E-4</v>
      </c>
      <c r="J581" s="17">
        <v>-2.33</v>
      </c>
      <c r="K581" s="17">
        <v>-3.27</v>
      </c>
      <c r="L581" s="12">
        <v>0.15</v>
      </c>
      <c r="M581" s="20">
        <v>1.2E-2</v>
      </c>
      <c r="N581" s="20">
        <f t="shared" si="76"/>
        <v>-7.100649696453399E-3</v>
      </c>
      <c r="O581" s="20">
        <f t="shared" si="77"/>
        <v>-4.5373786407767E-2</v>
      </c>
      <c r="P581" s="20">
        <f t="shared" si="78"/>
        <v>2.9456521739128598E-3</v>
      </c>
      <c r="Q581" s="20">
        <f t="shared" si="79"/>
        <v>-1.1787005354448644E-2</v>
      </c>
    </row>
    <row r="582" spans="1:17" x14ac:dyDescent="0.2">
      <c r="A582" s="1">
        <v>45407</v>
      </c>
      <c r="B582">
        <v>188.99</v>
      </c>
      <c r="C582">
        <v>59.95</v>
      </c>
      <c r="D582">
        <v>82.6</v>
      </c>
      <c r="E582" s="2">
        <v>5048.42</v>
      </c>
      <c r="F582" s="3">
        <f t="shared" si="72"/>
        <v>1.536830948595691E-3</v>
      </c>
      <c r="G582" s="3">
        <f t="shared" si="73"/>
        <v>3.1793842034806286E-3</v>
      </c>
      <c r="H582" s="3">
        <f t="shared" si="74"/>
        <v>3.7037037037036979E-2</v>
      </c>
      <c r="I582" s="3">
        <f t="shared" si="75"/>
        <v>-4.5764379499293462E-3</v>
      </c>
      <c r="J582" s="15">
        <v>3.14</v>
      </c>
      <c r="K582" s="12">
        <v>0.36</v>
      </c>
      <c r="L582" s="12">
        <v>0.69</v>
      </c>
      <c r="M582" s="20">
        <v>1.2E-2</v>
      </c>
      <c r="N582" s="20">
        <f t="shared" si="76"/>
        <v>-1.0463169051404309E-2</v>
      </c>
      <c r="O582" s="20">
        <f t="shared" si="77"/>
        <v>2.5037037037036979E-2</v>
      </c>
      <c r="P582" s="20">
        <f t="shared" si="78"/>
        <v>-8.8206157965193717E-3</v>
      </c>
      <c r="Q582" s="20">
        <f t="shared" si="79"/>
        <v>-1.6576437949929346E-2</v>
      </c>
    </row>
    <row r="583" spans="1:17" x14ac:dyDescent="0.2">
      <c r="A583" s="1">
        <v>45408</v>
      </c>
      <c r="B583">
        <v>189.1</v>
      </c>
      <c r="C583">
        <v>59.95</v>
      </c>
      <c r="D583">
        <v>87.71</v>
      </c>
      <c r="E583" s="2">
        <v>5099.96</v>
      </c>
      <c r="F583" s="3">
        <f t="shared" si="72"/>
        <v>5.8204137785056176E-4</v>
      </c>
      <c r="G583" s="3">
        <f t="shared" si="73"/>
        <v>0</v>
      </c>
      <c r="H583" s="3">
        <f t="shared" si="74"/>
        <v>6.1864406779660985E-2</v>
      </c>
      <c r="I583" s="3">
        <f t="shared" si="75"/>
        <v>1.0209134739185721E-2</v>
      </c>
      <c r="J583" s="12">
        <v>0.95</v>
      </c>
      <c r="K583" s="15">
        <v>1.52</v>
      </c>
      <c r="L583" s="12">
        <v>0.93</v>
      </c>
      <c r="M583" s="20">
        <v>1.2E-2</v>
      </c>
      <c r="N583" s="20">
        <f t="shared" si="76"/>
        <v>-1.1417958622149438E-2</v>
      </c>
      <c r="O583" s="20">
        <f t="shared" si="77"/>
        <v>4.9864406779660989E-2</v>
      </c>
      <c r="P583" s="20">
        <f t="shared" si="78"/>
        <v>-1.2E-2</v>
      </c>
      <c r="Q583" s="20">
        <f t="shared" si="79"/>
        <v>-1.790865260814279E-3</v>
      </c>
    </row>
    <row r="584" spans="1:17" x14ac:dyDescent="0.2">
      <c r="A584" s="1">
        <v>45411</v>
      </c>
      <c r="B584">
        <v>188.9</v>
      </c>
      <c r="C584">
        <v>60.24</v>
      </c>
      <c r="D584">
        <v>87.73</v>
      </c>
      <c r="E584" s="2">
        <v>5116.17</v>
      </c>
      <c r="F584" s="3">
        <f t="shared" si="72"/>
        <v>-1.0576414595451222E-3</v>
      </c>
      <c r="G584" s="3">
        <f t="shared" si="73"/>
        <v>4.8373644703920693E-3</v>
      </c>
      <c r="H584" s="3">
        <f t="shared" si="74"/>
        <v>2.2802417056211333E-4</v>
      </c>
      <c r="I584" s="3">
        <f t="shared" si="75"/>
        <v>3.178456301617949E-3</v>
      </c>
      <c r="J584" s="17">
        <v>-1.24</v>
      </c>
      <c r="K584" s="13">
        <v>-0.18</v>
      </c>
      <c r="L584" s="11">
        <v>0.5</v>
      </c>
      <c r="M584" s="20">
        <v>1.2E-2</v>
      </c>
      <c r="N584" s="20">
        <f t="shared" si="76"/>
        <v>-1.3057641459545122E-2</v>
      </c>
      <c r="O584" s="20">
        <f t="shared" si="77"/>
        <v>-1.1771975829437887E-2</v>
      </c>
      <c r="P584" s="20">
        <f t="shared" si="78"/>
        <v>-7.162635529607931E-3</v>
      </c>
      <c r="Q584" s="20">
        <f t="shared" si="79"/>
        <v>-8.8215436983820512E-3</v>
      </c>
    </row>
    <row r="585" spans="1:17" x14ac:dyDescent="0.2">
      <c r="A585" s="1">
        <v>45412</v>
      </c>
      <c r="B585">
        <v>187.39</v>
      </c>
      <c r="C585">
        <v>59.98</v>
      </c>
      <c r="D585">
        <v>86.37</v>
      </c>
      <c r="E585" s="2">
        <v>5035.6899999999996</v>
      </c>
      <c r="F585" s="3">
        <f t="shared" si="72"/>
        <v>-7.9936474325040807E-3</v>
      </c>
      <c r="G585" s="3">
        <f t="shared" si="73"/>
        <v>-4.3160690571050209E-3</v>
      </c>
      <c r="H585" s="3">
        <f t="shared" si="74"/>
        <v>-1.5502108742733389E-2</v>
      </c>
      <c r="I585" s="3">
        <f t="shared" si="75"/>
        <v>-1.5730517164206925E-2</v>
      </c>
      <c r="J585" s="13">
        <v>-0.03</v>
      </c>
      <c r="K585" s="13">
        <v>-0.57999999999999996</v>
      </c>
      <c r="L585" s="13">
        <v>-0.01</v>
      </c>
      <c r="M585" s="20">
        <v>1.2E-2</v>
      </c>
      <c r="N585" s="20">
        <f t="shared" si="76"/>
        <v>-1.9993647432504081E-2</v>
      </c>
      <c r="O585" s="20">
        <f t="shared" si="77"/>
        <v>-2.7502108742733389E-2</v>
      </c>
      <c r="P585" s="20">
        <f t="shared" si="78"/>
        <v>-1.6316069057105021E-2</v>
      </c>
      <c r="Q585" s="20">
        <f t="shared" si="79"/>
        <v>-2.7730517164206926E-2</v>
      </c>
    </row>
    <row r="586" spans="1:17" x14ac:dyDescent="0.2">
      <c r="A586" s="1">
        <v>45413</v>
      </c>
      <c r="B586">
        <v>187.51</v>
      </c>
      <c r="C586">
        <v>60.13</v>
      </c>
      <c r="D586">
        <v>83.01</v>
      </c>
      <c r="E586" s="2">
        <v>5018.3900000000003</v>
      </c>
      <c r="F586" s="3">
        <f t="shared" si="72"/>
        <v>6.403756870698718E-4</v>
      </c>
      <c r="G586" s="3">
        <f t="shared" si="73"/>
        <v>2.5008336112037899E-3</v>
      </c>
      <c r="H586" s="3">
        <f t="shared" si="74"/>
        <v>-3.8902396665508876E-2</v>
      </c>
      <c r="I586" s="3">
        <f t="shared" si="75"/>
        <v>-3.4354775611682431E-3</v>
      </c>
      <c r="J586" s="17">
        <v>-2.0099999999999998</v>
      </c>
      <c r="K586" s="12">
        <v>0.06</v>
      </c>
      <c r="L586" s="13">
        <v>-0.16</v>
      </c>
      <c r="M586" s="20">
        <v>1.2E-2</v>
      </c>
      <c r="N586" s="20">
        <f t="shared" si="76"/>
        <v>-1.1359624312930128E-2</v>
      </c>
      <c r="O586" s="20">
        <f t="shared" si="77"/>
        <v>-5.0902396665508873E-2</v>
      </c>
      <c r="P586" s="20">
        <f t="shared" si="78"/>
        <v>-9.4991663887962104E-3</v>
      </c>
      <c r="Q586" s="20">
        <f t="shared" si="79"/>
        <v>-1.5435477561168243E-2</v>
      </c>
    </row>
    <row r="587" spans="1:17" x14ac:dyDescent="0.2">
      <c r="A587" s="1">
        <v>45414</v>
      </c>
      <c r="B587">
        <v>187.32</v>
      </c>
      <c r="C587">
        <v>60.19</v>
      </c>
      <c r="D587">
        <v>85.79</v>
      </c>
      <c r="E587" s="2">
        <v>5064.2</v>
      </c>
      <c r="F587" s="3">
        <f t="shared" si="72"/>
        <v>-1.0132792917710853E-3</v>
      </c>
      <c r="G587" s="3">
        <f t="shared" si="73"/>
        <v>9.9783801762831636E-4</v>
      </c>
      <c r="H587" s="3">
        <f t="shared" si="74"/>
        <v>3.3489940970967469E-2</v>
      </c>
      <c r="I587" s="3">
        <f t="shared" si="75"/>
        <v>9.1284256504575723E-3</v>
      </c>
      <c r="J587" s="13">
        <v>-0.62</v>
      </c>
      <c r="K587" s="17">
        <v>-1.27</v>
      </c>
      <c r="L587" s="13">
        <v>-0.16</v>
      </c>
      <c r="M587" s="20">
        <v>1.2E-2</v>
      </c>
      <c r="N587" s="20">
        <f t="shared" si="76"/>
        <v>-1.3013279291771086E-2</v>
      </c>
      <c r="O587" s="20">
        <f t="shared" si="77"/>
        <v>2.1489940970967469E-2</v>
      </c>
      <c r="P587" s="20">
        <f t="shared" si="78"/>
        <v>-1.1002161982371684E-2</v>
      </c>
      <c r="Q587" s="20">
        <f t="shared" si="79"/>
        <v>-2.871574349542428E-3</v>
      </c>
    </row>
    <row r="588" spans="1:17" x14ac:dyDescent="0.2">
      <c r="A588" s="1">
        <v>45415</v>
      </c>
      <c r="B588">
        <v>186.19</v>
      </c>
      <c r="C588">
        <v>60.36</v>
      </c>
      <c r="D588">
        <v>88.76</v>
      </c>
      <c r="E588" s="2">
        <v>5127.79</v>
      </c>
      <c r="F588" s="3">
        <f t="shared" si="72"/>
        <v>-6.0324578261797823E-3</v>
      </c>
      <c r="G588" s="3">
        <f t="shared" si="73"/>
        <v>2.82438943346075E-3</v>
      </c>
      <c r="H588" s="3">
        <f t="shared" si="74"/>
        <v>3.4619419512763816E-2</v>
      </c>
      <c r="I588" s="3">
        <f t="shared" si="75"/>
        <v>1.2556771059594851E-2</v>
      </c>
      <c r="J588" s="15">
        <v>1.38</v>
      </c>
      <c r="K588" s="12">
        <v>7.0000000000000007E-2</v>
      </c>
      <c r="L588" s="12">
        <v>0.43</v>
      </c>
      <c r="M588" s="20">
        <v>1.2E-2</v>
      </c>
      <c r="N588" s="20">
        <f t="shared" si="76"/>
        <v>-1.8032457826179783E-2</v>
      </c>
      <c r="O588" s="20">
        <f t="shared" si="77"/>
        <v>2.2619419512763816E-2</v>
      </c>
      <c r="P588" s="20">
        <f t="shared" si="78"/>
        <v>-9.1756105665392503E-3</v>
      </c>
      <c r="Q588" s="20">
        <f t="shared" si="79"/>
        <v>5.5677105959485093E-4</v>
      </c>
    </row>
    <row r="589" spans="1:17" x14ac:dyDescent="0.2">
      <c r="A589" s="1">
        <v>45418</v>
      </c>
      <c r="B589">
        <v>187.65</v>
      </c>
      <c r="C589">
        <v>60.54</v>
      </c>
      <c r="D589">
        <v>92.11</v>
      </c>
      <c r="E589" s="2">
        <v>5180.74</v>
      </c>
      <c r="F589" s="3">
        <f t="shared" si="72"/>
        <v>7.8414522799290509E-3</v>
      </c>
      <c r="G589" s="3">
        <f t="shared" si="73"/>
        <v>2.9821073558649047E-3</v>
      </c>
      <c r="H589" s="3">
        <f t="shared" si="74"/>
        <v>3.7742226228030473E-2</v>
      </c>
      <c r="I589" s="3">
        <f t="shared" si="75"/>
        <v>1.0326085896653403E-2</v>
      </c>
      <c r="J589" s="12">
        <v>0.15</v>
      </c>
      <c r="K589" s="12">
        <v>0.51</v>
      </c>
      <c r="L589" s="12">
        <v>0.48</v>
      </c>
      <c r="M589" s="20">
        <v>1.2E-2</v>
      </c>
      <c r="N589" s="20">
        <f t="shared" si="76"/>
        <v>-4.1585477200709493E-3</v>
      </c>
      <c r="O589" s="20">
        <f t="shared" si="77"/>
        <v>2.5742226228030473E-2</v>
      </c>
      <c r="P589" s="20">
        <f t="shared" si="78"/>
        <v>-9.0178926441350955E-3</v>
      </c>
      <c r="Q589" s="20">
        <f t="shared" si="79"/>
        <v>-1.6739141033465972E-3</v>
      </c>
    </row>
    <row r="590" spans="1:17" x14ac:dyDescent="0.2">
      <c r="A590" s="1">
        <v>45419</v>
      </c>
      <c r="B590">
        <v>187.4</v>
      </c>
      <c r="C590">
        <v>60.8</v>
      </c>
      <c r="D590">
        <v>90.52</v>
      </c>
      <c r="E590" s="2">
        <v>5187.7</v>
      </c>
      <c r="F590" s="3">
        <f t="shared" si="72"/>
        <v>-1.3322675193179201E-3</v>
      </c>
      <c r="G590" s="3">
        <f t="shared" si="73"/>
        <v>4.2946812025106418E-3</v>
      </c>
      <c r="H590" s="3">
        <f t="shared" si="74"/>
        <v>-1.7261969384431697E-2</v>
      </c>
      <c r="I590" s="3">
        <f t="shared" si="75"/>
        <v>1.3434374239973401E-3</v>
      </c>
      <c r="J590" s="13">
        <v>-0.03</v>
      </c>
      <c r="K590" s="12">
        <v>0.15</v>
      </c>
      <c r="L590" s="12">
        <v>0.43</v>
      </c>
      <c r="M590" s="20">
        <v>1.2E-2</v>
      </c>
      <c r="N590" s="20">
        <f t="shared" si="76"/>
        <v>-1.333226751931792E-2</v>
      </c>
      <c r="O590" s="20">
        <f t="shared" si="77"/>
        <v>-2.9261969384431697E-2</v>
      </c>
      <c r="P590" s="20">
        <f t="shared" si="78"/>
        <v>-7.7053187974893585E-3</v>
      </c>
      <c r="Q590" s="20">
        <f t="shared" si="79"/>
        <v>-1.065656257600266E-2</v>
      </c>
    </row>
    <row r="591" spans="1:17" x14ac:dyDescent="0.2">
      <c r="A591" s="1">
        <v>45420</v>
      </c>
      <c r="B591">
        <v>191.22</v>
      </c>
      <c r="C591">
        <v>61.02</v>
      </c>
      <c r="D591">
        <v>90.38</v>
      </c>
      <c r="E591" s="2">
        <v>5187.67</v>
      </c>
      <c r="F591" s="3">
        <f t="shared" si="72"/>
        <v>2.0384204909284831E-2</v>
      </c>
      <c r="G591" s="3">
        <f t="shared" si="73"/>
        <v>3.6184210526317706E-3</v>
      </c>
      <c r="H591" s="3">
        <f t="shared" si="74"/>
        <v>-1.5466195315951836E-3</v>
      </c>
      <c r="I591" s="3">
        <f t="shared" si="75"/>
        <v>-5.7829095745365322E-6</v>
      </c>
      <c r="J591" s="13">
        <v>-0.65</v>
      </c>
      <c r="K591" s="12">
        <v>0.14000000000000001</v>
      </c>
      <c r="L591" s="13">
        <v>-0.26</v>
      </c>
      <c r="M591" s="20">
        <v>1.2E-2</v>
      </c>
      <c r="N591" s="20">
        <f t="shared" si="76"/>
        <v>8.3842049092848307E-3</v>
      </c>
      <c r="O591" s="20">
        <f t="shared" si="77"/>
        <v>-1.3546619531595184E-2</v>
      </c>
      <c r="P591" s="20">
        <f t="shared" si="78"/>
        <v>-8.3815789473682296E-3</v>
      </c>
      <c r="Q591" s="20">
        <f t="shared" si="79"/>
        <v>-1.2005782909574537E-2</v>
      </c>
    </row>
    <row r="592" spans="1:17" x14ac:dyDescent="0.2">
      <c r="A592" s="1">
        <v>45421</v>
      </c>
      <c r="B592">
        <v>193.02</v>
      </c>
      <c r="C592">
        <v>61.05</v>
      </c>
      <c r="D592">
        <v>88.72</v>
      </c>
      <c r="E592" s="2">
        <v>5214.08</v>
      </c>
      <c r="F592" s="3">
        <f t="shared" si="72"/>
        <v>9.4132412927518949E-3</v>
      </c>
      <c r="G592" s="3">
        <f t="shared" si="73"/>
        <v>4.9164208456242697E-4</v>
      </c>
      <c r="H592" s="3">
        <f t="shared" si="74"/>
        <v>-1.8366895330825361E-2</v>
      </c>
      <c r="I592" s="3">
        <f t="shared" si="75"/>
        <v>5.0909175024624886E-3</v>
      </c>
      <c r="J592" s="12">
        <v>0.09</v>
      </c>
      <c r="K592" s="13">
        <v>-0.68</v>
      </c>
      <c r="L592" s="12">
        <v>0.53</v>
      </c>
      <c r="M592" s="20">
        <v>1.2E-2</v>
      </c>
      <c r="N592" s="20">
        <f t="shared" si="76"/>
        <v>-2.5867587072481053E-3</v>
      </c>
      <c r="O592" s="20">
        <f t="shared" si="77"/>
        <v>-3.0366895330825362E-2</v>
      </c>
      <c r="P592" s="20">
        <f t="shared" si="78"/>
        <v>-1.1508357915437573E-2</v>
      </c>
      <c r="Q592" s="20">
        <f t="shared" si="79"/>
        <v>-6.9090824975375116E-3</v>
      </c>
    </row>
    <row r="593" spans="1:17" x14ac:dyDescent="0.2">
      <c r="A593" s="1">
        <v>45422</v>
      </c>
      <c r="B593">
        <v>194.26</v>
      </c>
      <c r="C593">
        <v>61.42</v>
      </c>
      <c r="D593">
        <v>89.85</v>
      </c>
      <c r="E593" s="2">
        <v>5222.68</v>
      </c>
      <c r="F593" s="3">
        <f t="shared" si="72"/>
        <v>6.4242047456222195E-3</v>
      </c>
      <c r="G593" s="3">
        <f t="shared" si="73"/>
        <v>6.0606060606060996E-3</v>
      </c>
      <c r="H593" s="3">
        <f t="shared" si="74"/>
        <v>1.273669972948599E-2</v>
      </c>
      <c r="I593" s="3">
        <f t="shared" si="75"/>
        <v>1.6493801399288799E-3</v>
      </c>
      <c r="J593" s="18">
        <v>1</v>
      </c>
      <c r="K593" s="13">
        <v>-0.16</v>
      </c>
      <c r="L593" s="13">
        <v>-0.02</v>
      </c>
      <c r="M593" s="20">
        <v>1.2E-2</v>
      </c>
      <c r="N593" s="20">
        <f t="shared" si="76"/>
        <v>-5.5757952543777807E-3</v>
      </c>
      <c r="O593" s="20">
        <f t="shared" si="77"/>
        <v>7.3669972948598936E-4</v>
      </c>
      <c r="P593" s="20">
        <f t="shared" si="78"/>
        <v>-5.9393939393939006E-3</v>
      </c>
      <c r="Q593" s="20">
        <f t="shared" si="79"/>
        <v>-1.035061986007112E-2</v>
      </c>
    </row>
    <row r="594" spans="1:17" x14ac:dyDescent="0.2">
      <c r="A594" s="1">
        <v>45425</v>
      </c>
      <c r="B594">
        <v>194.23</v>
      </c>
      <c r="C594">
        <v>61.73</v>
      </c>
      <c r="D594">
        <v>90.37</v>
      </c>
      <c r="E594" s="2">
        <v>5221.42</v>
      </c>
      <c r="F594" s="3">
        <f t="shared" si="72"/>
        <v>-1.5443220426236692E-4</v>
      </c>
      <c r="G594" s="3">
        <f t="shared" si="73"/>
        <v>5.0472158905892073E-3</v>
      </c>
      <c r="H594" s="3">
        <f t="shared" si="74"/>
        <v>5.7874234835839644E-3</v>
      </c>
      <c r="I594" s="3">
        <f t="shared" si="75"/>
        <v>-2.4125544739483917E-4</v>
      </c>
      <c r="J594" s="15">
        <v>1.01</v>
      </c>
      <c r="K594" s="12">
        <v>0.59</v>
      </c>
      <c r="L594" s="13">
        <v>-0.23</v>
      </c>
      <c r="M594" s="20">
        <v>1.2E-2</v>
      </c>
      <c r="N594" s="20">
        <f t="shared" si="76"/>
        <v>-1.2154432204262367E-2</v>
      </c>
      <c r="O594" s="20">
        <f t="shared" si="77"/>
        <v>-6.2125765164160358E-3</v>
      </c>
      <c r="P594" s="20">
        <f t="shared" si="78"/>
        <v>-6.952784109410793E-3</v>
      </c>
      <c r="Q594" s="20">
        <f t="shared" si="79"/>
        <v>-1.2241255447394839E-2</v>
      </c>
    </row>
    <row r="595" spans="1:17" x14ac:dyDescent="0.2">
      <c r="A595" s="1">
        <v>45426</v>
      </c>
      <c r="B595">
        <v>196.94</v>
      </c>
      <c r="C595">
        <v>61.27</v>
      </c>
      <c r="D595">
        <v>91.33</v>
      </c>
      <c r="E595" s="2">
        <v>5246.68</v>
      </c>
      <c r="F595" s="3">
        <f t="shared" si="72"/>
        <v>1.3952530505071392E-2</v>
      </c>
      <c r="G595" s="3">
        <f t="shared" si="73"/>
        <v>-7.4518062530373186E-3</v>
      </c>
      <c r="H595" s="3">
        <f t="shared" si="74"/>
        <v>1.0622994356534132E-2</v>
      </c>
      <c r="I595" s="3">
        <f t="shared" si="75"/>
        <v>4.8377644395585229E-3</v>
      </c>
      <c r="J595" s="12">
        <v>0.82</v>
      </c>
      <c r="K595" s="12">
        <v>0.24</v>
      </c>
      <c r="L595" s="13">
        <v>-0.25</v>
      </c>
      <c r="M595" s="20">
        <v>1.2E-2</v>
      </c>
      <c r="N595" s="20">
        <f t="shared" si="76"/>
        <v>1.9525305050713919E-3</v>
      </c>
      <c r="O595" s="20">
        <f t="shared" si="77"/>
        <v>-1.377005643465868E-3</v>
      </c>
      <c r="P595" s="20">
        <f t="shared" si="78"/>
        <v>-1.9451806253037319E-2</v>
      </c>
      <c r="Q595" s="20">
        <f t="shared" si="79"/>
        <v>-7.1622355604414774E-3</v>
      </c>
    </row>
    <row r="596" spans="1:17" x14ac:dyDescent="0.2">
      <c r="A596" s="1">
        <v>45427</v>
      </c>
      <c r="B596">
        <v>197.53</v>
      </c>
      <c r="C596">
        <v>61.3</v>
      </c>
      <c r="D596">
        <v>94.6</v>
      </c>
      <c r="E596" s="2">
        <v>5308.15</v>
      </c>
      <c r="F596" s="3">
        <f t="shared" si="72"/>
        <v>2.9958362953184103E-3</v>
      </c>
      <c r="G596" s="3">
        <f t="shared" si="73"/>
        <v>4.8963603721219329E-4</v>
      </c>
      <c r="H596" s="3">
        <f t="shared" si="74"/>
        <v>3.5804226431621622E-2</v>
      </c>
      <c r="I596" s="3">
        <f t="shared" si="75"/>
        <v>1.1715980391409309E-2</v>
      </c>
      <c r="J596" s="12">
        <v>0.49</v>
      </c>
      <c r="K596" s="13">
        <v>-0.11</v>
      </c>
      <c r="L596" s="12">
        <v>0.33</v>
      </c>
      <c r="M596" s="20">
        <v>1.2E-2</v>
      </c>
      <c r="N596" s="20">
        <f t="shared" si="76"/>
        <v>-9.0041637046815899E-3</v>
      </c>
      <c r="O596" s="20">
        <f t="shared" si="77"/>
        <v>2.3804226431621622E-2</v>
      </c>
      <c r="P596" s="20">
        <f t="shared" si="78"/>
        <v>-1.1510363962787807E-2</v>
      </c>
      <c r="Q596" s="20">
        <f t="shared" si="79"/>
        <v>-2.8401960859069167E-4</v>
      </c>
    </row>
    <row r="597" spans="1:17" x14ac:dyDescent="0.2">
      <c r="A597" s="1">
        <v>45428</v>
      </c>
      <c r="B597">
        <v>197.88</v>
      </c>
      <c r="C597">
        <v>61.48</v>
      </c>
      <c r="D597">
        <v>94.33</v>
      </c>
      <c r="E597" s="2">
        <v>5297.1</v>
      </c>
      <c r="F597" s="3">
        <f t="shared" si="72"/>
        <v>1.7718827519870306E-3</v>
      </c>
      <c r="G597" s="3">
        <f t="shared" si="73"/>
        <v>2.9363784665579207E-3</v>
      </c>
      <c r="H597" s="3">
        <f t="shared" si="74"/>
        <v>-2.854122621564481E-3</v>
      </c>
      <c r="I597" s="3">
        <f t="shared" si="75"/>
        <v>-2.0817045486656305E-3</v>
      </c>
      <c r="J597" s="12">
        <v>0.12</v>
      </c>
      <c r="K597" s="12">
        <v>0.08</v>
      </c>
      <c r="L597" s="13">
        <v>-0.28000000000000003</v>
      </c>
      <c r="M597" s="20">
        <v>1.2E-2</v>
      </c>
      <c r="N597" s="20">
        <f t="shared" si="76"/>
        <v>-1.022811724801297E-2</v>
      </c>
      <c r="O597" s="20">
        <f t="shared" si="77"/>
        <v>-1.4854122621564481E-2</v>
      </c>
      <c r="P597" s="20">
        <f t="shared" si="78"/>
        <v>-9.0636215334420796E-3</v>
      </c>
      <c r="Q597" s="20">
        <f t="shared" si="79"/>
        <v>-1.4081704548665631E-2</v>
      </c>
    </row>
    <row r="598" spans="1:17" x14ac:dyDescent="0.2">
      <c r="A598" s="1">
        <v>45429</v>
      </c>
      <c r="B598">
        <v>200.15</v>
      </c>
      <c r="C598">
        <v>61.2</v>
      </c>
      <c r="D598">
        <v>92.45</v>
      </c>
      <c r="E598" s="2">
        <v>5303.27</v>
      </c>
      <c r="F598" s="3">
        <f t="shared" si="72"/>
        <v>1.1471598948857853E-2</v>
      </c>
      <c r="G598" s="3">
        <f t="shared" si="73"/>
        <v>-4.5543266102796576E-3</v>
      </c>
      <c r="H598" s="3">
        <f t="shared" si="74"/>
        <v>-1.9930032863352043E-2</v>
      </c>
      <c r="I598" s="3">
        <f t="shared" si="75"/>
        <v>1.1647882803798026E-3</v>
      </c>
      <c r="J598" s="16">
        <v>-1.2</v>
      </c>
      <c r="K598" s="13">
        <v>-0.03</v>
      </c>
      <c r="L598" s="14">
        <v>-0.3</v>
      </c>
      <c r="M598" s="20">
        <v>1.2999999999999999E-2</v>
      </c>
      <c r="N598" s="20">
        <f t="shared" si="76"/>
        <v>-1.5284010511421465E-3</v>
      </c>
      <c r="O598" s="20">
        <f t="shared" si="77"/>
        <v>-3.2930032863352041E-2</v>
      </c>
      <c r="P598" s="20">
        <f t="shared" si="78"/>
        <v>-1.7554326610279655E-2</v>
      </c>
      <c r="Q598" s="20">
        <f t="shared" si="79"/>
        <v>-1.1835211719620197E-2</v>
      </c>
    </row>
    <row r="599" spans="1:17" x14ac:dyDescent="0.2">
      <c r="A599" s="1">
        <v>45432</v>
      </c>
      <c r="B599">
        <v>191.15</v>
      </c>
      <c r="C599">
        <v>60.75</v>
      </c>
      <c r="D599">
        <v>94.75</v>
      </c>
      <c r="E599" s="2">
        <v>5308.13</v>
      </c>
      <c r="F599" s="3">
        <f t="shared" si="72"/>
        <v>-4.4966275293529812E-2</v>
      </c>
      <c r="G599" s="3">
        <f t="shared" si="73"/>
        <v>-7.3529411764706731E-3</v>
      </c>
      <c r="H599" s="3">
        <f t="shared" si="74"/>
        <v>2.487831260140605E-2</v>
      </c>
      <c r="I599" s="3">
        <f t="shared" si="75"/>
        <v>9.1641572086653689E-4</v>
      </c>
      <c r="J599" s="15">
        <v>1.61</v>
      </c>
      <c r="K599" s="13">
        <v>-0.28999999999999998</v>
      </c>
      <c r="L599" s="12">
        <v>0.13</v>
      </c>
      <c r="M599" s="20">
        <v>1.2999999999999999E-2</v>
      </c>
      <c r="N599" s="20">
        <f t="shared" si="76"/>
        <v>-5.7966275293529809E-2</v>
      </c>
      <c r="O599" s="20">
        <f t="shared" si="77"/>
        <v>1.187831260140605E-2</v>
      </c>
      <c r="P599" s="20">
        <f t="shared" si="78"/>
        <v>-2.0352941176470671E-2</v>
      </c>
      <c r="Q599" s="20">
        <f t="shared" si="79"/>
        <v>-1.2083584279133463E-2</v>
      </c>
    </row>
    <row r="600" spans="1:17" x14ac:dyDescent="0.2">
      <c r="A600" s="1">
        <v>45433</v>
      </c>
      <c r="B600">
        <v>195</v>
      </c>
      <c r="C600">
        <v>61.08</v>
      </c>
      <c r="D600">
        <v>95.35</v>
      </c>
      <c r="E600" s="2">
        <v>5321.41</v>
      </c>
      <c r="F600" s="3">
        <f t="shared" si="72"/>
        <v>2.014125032696823E-2</v>
      </c>
      <c r="G600" s="3">
        <f t="shared" si="73"/>
        <v>5.4320987654321584E-3</v>
      </c>
      <c r="H600" s="3">
        <f t="shared" si="74"/>
        <v>6.3324538258575647E-3</v>
      </c>
      <c r="I600" s="3">
        <f t="shared" si="75"/>
        <v>2.5018226757822504E-3</v>
      </c>
      <c r="J600" s="12">
        <v>0.94</v>
      </c>
      <c r="K600" s="13">
        <v>-0.02</v>
      </c>
      <c r="L600" s="12">
        <v>0.05</v>
      </c>
      <c r="M600" s="20">
        <v>1.2999999999999999E-2</v>
      </c>
      <c r="N600" s="20">
        <f t="shared" si="76"/>
        <v>7.1412503269682303E-3</v>
      </c>
      <c r="O600" s="20">
        <f t="shared" si="77"/>
        <v>-6.6675461741424347E-3</v>
      </c>
      <c r="P600" s="20">
        <f t="shared" si="78"/>
        <v>-7.567901234567841E-3</v>
      </c>
      <c r="Q600" s="20">
        <f t="shared" si="79"/>
        <v>-1.0498177324217749E-2</v>
      </c>
    </row>
    <row r="601" spans="1:17" x14ac:dyDescent="0.2">
      <c r="A601" s="1">
        <v>45434</v>
      </c>
      <c r="B601">
        <v>193.82</v>
      </c>
      <c r="C601">
        <v>61.17</v>
      </c>
      <c r="D601">
        <v>94.92</v>
      </c>
      <c r="E601" s="2">
        <v>5307.01</v>
      </c>
      <c r="F601" s="3">
        <f t="shared" si="72"/>
        <v>-6.0512820512821364E-3</v>
      </c>
      <c r="G601" s="3">
        <f t="shared" si="73"/>
        <v>1.4734774066798018E-3</v>
      </c>
      <c r="H601" s="3">
        <f t="shared" si="74"/>
        <v>-4.5097011012059651E-3</v>
      </c>
      <c r="I601" s="3">
        <f t="shared" si="75"/>
        <v>-2.7060497123881921E-3</v>
      </c>
      <c r="J601" s="13">
        <v>-0.32</v>
      </c>
      <c r="K601" s="12">
        <v>0.21</v>
      </c>
      <c r="L601" s="12">
        <v>0.31</v>
      </c>
      <c r="M601" s="20">
        <v>1.2999999999999999E-2</v>
      </c>
      <c r="N601" s="20">
        <f t="shared" si="76"/>
        <v>-1.9051282051282134E-2</v>
      </c>
      <c r="O601" s="20">
        <f t="shared" si="77"/>
        <v>-1.7509701101205963E-2</v>
      </c>
      <c r="P601" s="20">
        <f t="shared" si="78"/>
        <v>-1.1526522593320198E-2</v>
      </c>
      <c r="Q601" s="20">
        <f t="shared" si="79"/>
        <v>-1.570604971238819E-2</v>
      </c>
    </row>
    <row r="602" spans="1:17" x14ac:dyDescent="0.2">
      <c r="A602" s="1">
        <v>45435</v>
      </c>
      <c r="B602">
        <v>192.46</v>
      </c>
      <c r="C602">
        <v>60.29</v>
      </c>
      <c r="D602">
        <v>103.76</v>
      </c>
      <c r="E602" s="2">
        <v>5267.84</v>
      </c>
      <c r="F602" s="3">
        <f t="shared" si="72"/>
        <v>-7.0168197296459622E-3</v>
      </c>
      <c r="G602" s="3">
        <f t="shared" si="73"/>
        <v>-1.4386136995259147E-2</v>
      </c>
      <c r="H602" s="3">
        <f t="shared" si="74"/>
        <v>9.3131057732827704E-2</v>
      </c>
      <c r="I602" s="3">
        <f t="shared" si="75"/>
        <v>-7.3808038801509435E-3</v>
      </c>
      <c r="J602" s="12">
        <v>0.26</v>
      </c>
      <c r="K602" s="12">
        <v>0.03</v>
      </c>
      <c r="L602" s="12">
        <v>0.39</v>
      </c>
      <c r="M602" s="20">
        <v>1.2999999999999999E-2</v>
      </c>
      <c r="N602" s="20">
        <f t="shared" si="76"/>
        <v>-2.001681972964596E-2</v>
      </c>
      <c r="O602" s="20">
        <f t="shared" si="77"/>
        <v>8.0131057732827707E-2</v>
      </c>
      <c r="P602" s="20">
        <f t="shared" si="78"/>
        <v>-2.7386136995259144E-2</v>
      </c>
      <c r="Q602" s="20">
        <f t="shared" si="79"/>
        <v>-2.0380803880150941E-2</v>
      </c>
    </row>
    <row r="603" spans="1:17" x14ac:dyDescent="0.2">
      <c r="A603" s="1">
        <v>45436</v>
      </c>
      <c r="B603">
        <v>196.16</v>
      </c>
      <c r="C603">
        <v>60.2</v>
      </c>
      <c r="D603">
        <v>106.43</v>
      </c>
      <c r="E603" s="2">
        <v>5304.72</v>
      </c>
      <c r="F603" s="3">
        <f t="shared" si="72"/>
        <v>1.9224773979008569E-2</v>
      </c>
      <c r="G603" s="3">
        <f t="shared" si="73"/>
        <v>-1.4927848731132176E-3</v>
      </c>
      <c r="H603" s="3">
        <f t="shared" si="74"/>
        <v>2.5732459521973894E-2</v>
      </c>
      <c r="I603" s="3">
        <f t="shared" si="75"/>
        <v>7.0009719353663069E-3</v>
      </c>
      <c r="J603" s="12">
        <v>0.01</v>
      </c>
      <c r="K603" s="12">
        <v>7.0000000000000007E-2</v>
      </c>
      <c r="L603" s="13">
        <v>-0.46</v>
      </c>
      <c r="M603" s="20">
        <v>1.2999999999999999E-2</v>
      </c>
      <c r="N603" s="20">
        <f t="shared" si="76"/>
        <v>6.2247739790085698E-3</v>
      </c>
      <c r="O603" s="20">
        <f t="shared" si="77"/>
        <v>1.2732459521973894E-2</v>
      </c>
      <c r="P603" s="20">
        <f t="shared" si="78"/>
        <v>-1.4492784873113217E-2</v>
      </c>
      <c r="Q603" s="20">
        <f t="shared" si="79"/>
        <v>-5.9990280646336925E-3</v>
      </c>
    </row>
    <row r="604" spans="1:17" x14ac:dyDescent="0.2">
      <c r="A604" s="1">
        <v>45440</v>
      </c>
      <c r="B604">
        <v>194.98</v>
      </c>
      <c r="C604">
        <v>60.02</v>
      </c>
      <c r="D604">
        <v>113.86</v>
      </c>
      <c r="E604" s="2">
        <v>5306.04</v>
      </c>
      <c r="F604" s="3">
        <f t="shared" si="72"/>
        <v>-6.015497553018001E-3</v>
      </c>
      <c r="G604" s="3">
        <f t="shared" si="73"/>
        <v>-2.9900332225913928E-3</v>
      </c>
      <c r="H604" s="3">
        <f t="shared" si="74"/>
        <v>6.9811143474584059E-2</v>
      </c>
      <c r="I604" s="3">
        <f t="shared" si="75"/>
        <v>2.4883499977379486E-4</v>
      </c>
      <c r="J604" s="13">
        <v>-0.27</v>
      </c>
      <c r="K604" s="11">
        <v>0.1</v>
      </c>
      <c r="L604" s="13">
        <v>-0.74</v>
      </c>
      <c r="M604" s="20">
        <v>1.2999999999999999E-2</v>
      </c>
      <c r="N604" s="20">
        <f t="shared" si="76"/>
        <v>-1.9015497553017999E-2</v>
      </c>
      <c r="O604" s="20">
        <f t="shared" si="77"/>
        <v>5.6811143474584061E-2</v>
      </c>
      <c r="P604" s="20">
        <f t="shared" si="78"/>
        <v>-1.599003322259139E-2</v>
      </c>
      <c r="Q604" s="20">
        <f t="shared" si="79"/>
        <v>-1.2751165000226205E-2</v>
      </c>
    </row>
    <row r="605" spans="1:17" x14ac:dyDescent="0.2">
      <c r="A605" s="1">
        <v>45441</v>
      </c>
      <c r="B605">
        <v>193.62</v>
      </c>
      <c r="C605">
        <v>59.91</v>
      </c>
      <c r="D605">
        <v>114.79</v>
      </c>
      <c r="E605" s="2">
        <v>5266.95</v>
      </c>
      <c r="F605" s="3">
        <f t="shared" si="72"/>
        <v>-6.975074366601608E-3</v>
      </c>
      <c r="G605" s="3">
        <f t="shared" si="73"/>
        <v>-1.8327224258581909E-3</v>
      </c>
      <c r="H605" s="3">
        <f t="shared" si="74"/>
        <v>8.1679255225717284E-3</v>
      </c>
      <c r="I605" s="3">
        <f t="shared" si="75"/>
        <v>-7.3670760114887823E-3</v>
      </c>
      <c r="J605" s="17">
        <v>-2.33</v>
      </c>
      <c r="K605" s="12">
        <v>0.15</v>
      </c>
      <c r="L605" s="13">
        <v>-0.16</v>
      </c>
      <c r="M605" s="20">
        <v>1.2999999999999999E-2</v>
      </c>
      <c r="N605" s="20">
        <f t="shared" si="76"/>
        <v>-1.9975074366601606E-2</v>
      </c>
      <c r="O605" s="20">
        <f t="shared" si="77"/>
        <v>-4.832074477428271E-3</v>
      </c>
      <c r="P605" s="20">
        <f t="shared" si="78"/>
        <v>-1.483272242585819E-2</v>
      </c>
      <c r="Q605" s="20">
        <f t="shared" si="79"/>
        <v>-2.036707601148878E-2</v>
      </c>
    </row>
    <row r="606" spans="1:17" x14ac:dyDescent="0.2">
      <c r="A606" s="1">
        <v>45442</v>
      </c>
      <c r="B606">
        <v>194.81</v>
      </c>
      <c r="C606">
        <v>60.17</v>
      </c>
      <c r="D606">
        <v>110.46</v>
      </c>
      <c r="E606" s="2">
        <v>5235.4799999999996</v>
      </c>
      <c r="F606" s="3">
        <f t="shared" si="72"/>
        <v>6.1460592913955558E-3</v>
      </c>
      <c r="G606" s="3">
        <f t="shared" si="73"/>
        <v>4.3398430979804115E-3</v>
      </c>
      <c r="H606" s="3">
        <f t="shared" si="74"/>
        <v>-3.7721055841101303E-2</v>
      </c>
      <c r="I606" s="3">
        <f t="shared" si="75"/>
        <v>-5.9749950160910004E-3</v>
      </c>
      <c r="J606" s="13">
        <v>-0.64</v>
      </c>
      <c r="K606" s="13">
        <v>-0.64</v>
      </c>
      <c r="L606" s="12">
        <v>0.67</v>
      </c>
      <c r="M606" s="20">
        <v>1.2999999999999999E-2</v>
      </c>
      <c r="N606" s="20">
        <f t="shared" si="76"/>
        <v>-6.8539407086044436E-3</v>
      </c>
      <c r="O606" s="20">
        <f t="shared" si="77"/>
        <v>-5.0721055841101301E-2</v>
      </c>
      <c r="P606" s="20">
        <f t="shared" si="78"/>
        <v>-8.6601569020195879E-3</v>
      </c>
      <c r="Q606" s="20">
        <f t="shared" si="79"/>
        <v>-1.8974995016090998E-2</v>
      </c>
    </row>
    <row r="607" spans="1:17" x14ac:dyDescent="0.2">
      <c r="A607" s="1">
        <v>45443</v>
      </c>
      <c r="B607">
        <v>198.04</v>
      </c>
      <c r="C607">
        <v>61.1</v>
      </c>
      <c r="D607">
        <v>109.6</v>
      </c>
      <c r="E607" s="2">
        <v>5277.51</v>
      </c>
      <c r="F607" s="3">
        <f t="shared" si="72"/>
        <v>1.6580257686976907E-2</v>
      </c>
      <c r="G607" s="3">
        <f t="shared" si="73"/>
        <v>1.5456207412331668E-2</v>
      </c>
      <c r="H607" s="3">
        <f t="shared" si="74"/>
        <v>-7.7856237552055285E-3</v>
      </c>
      <c r="I607" s="3">
        <f t="shared" si="75"/>
        <v>8.0279172110295782E-3</v>
      </c>
      <c r="J607" s="11">
        <v>0.7</v>
      </c>
      <c r="K607" s="13">
        <v>-0.13</v>
      </c>
      <c r="L607" s="13">
        <v>-0.09</v>
      </c>
      <c r="M607" s="20">
        <v>1.2999999999999999E-2</v>
      </c>
      <c r="N607" s="20">
        <f t="shared" si="76"/>
        <v>3.5802576869769075E-3</v>
      </c>
      <c r="O607" s="20">
        <f t="shared" si="77"/>
        <v>-2.0785623755205526E-2</v>
      </c>
      <c r="P607" s="20">
        <f t="shared" si="78"/>
        <v>2.456207412331669E-3</v>
      </c>
      <c r="Q607" s="20">
        <f t="shared" si="79"/>
        <v>-4.9720827889704212E-3</v>
      </c>
    </row>
    <row r="608" spans="1:17" x14ac:dyDescent="0.2">
      <c r="A608" s="1">
        <v>45446</v>
      </c>
      <c r="B608">
        <v>197.25</v>
      </c>
      <c r="C608">
        <v>61.1</v>
      </c>
      <c r="D608">
        <v>114.96</v>
      </c>
      <c r="E608" s="2">
        <v>5283.4</v>
      </c>
      <c r="F608" s="3">
        <f t="shared" si="72"/>
        <v>-3.9890931125025064E-3</v>
      </c>
      <c r="G608" s="3">
        <f t="shared" si="73"/>
        <v>0</v>
      </c>
      <c r="H608" s="3">
        <f t="shared" si="74"/>
        <v>4.8905109489051135E-2</v>
      </c>
      <c r="I608" s="3">
        <f t="shared" si="75"/>
        <v>1.116056625188655E-3</v>
      </c>
      <c r="J608" s="13">
        <v>-0.04</v>
      </c>
      <c r="K608" s="12">
        <v>0.28000000000000003</v>
      </c>
      <c r="L608" s="12">
        <v>0.33</v>
      </c>
      <c r="M608" s="20">
        <v>1.2999999999999999E-2</v>
      </c>
      <c r="N608" s="20">
        <f t="shared" si="76"/>
        <v>-1.6989093112502504E-2</v>
      </c>
      <c r="O608" s="20">
        <f t="shared" si="77"/>
        <v>3.5905109489051137E-2</v>
      </c>
      <c r="P608" s="20">
        <f t="shared" si="78"/>
        <v>-1.2999999999999999E-2</v>
      </c>
      <c r="Q608" s="20">
        <f t="shared" si="79"/>
        <v>-1.1883943374811344E-2</v>
      </c>
    </row>
    <row r="609" spans="1:17" x14ac:dyDescent="0.2">
      <c r="A609" s="1">
        <v>45447</v>
      </c>
      <c r="B609">
        <v>194.65</v>
      </c>
      <c r="C609">
        <v>62.08</v>
      </c>
      <c r="D609">
        <v>116.4</v>
      </c>
      <c r="E609" s="2">
        <v>5291.34</v>
      </c>
      <c r="F609" s="3">
        <f t="shared" si="72"/>
        <v>-1.3181242078580402E-2</v>
      </c>
      <c r="G609" s="3">
        <f t="shared" si="73"/>
        <v>1.6039279869066947E-2</v>
      </c>
      <c r="H609" s="3">
        <f t="shared" si="74"/>
        <v>1.2526096033403045E-2</v>
      </c>
      <c r="I609" s="3">
        <f t="shared" si="75"/>
        <v>1.5028201536890773E-3</v>
      </c>
      <c r="J609" s="17">
        <v>-1.23</v>
      </c>
      <c r="K609" s="13">
        <v>-0.13</v>
      </c>
      <c r="L609" s="13">
        <v>-0.05</v>
      </c>
      <c r="M609" s="20">
        <v>1.2999999999999999E-2</v>
      </c>
      <c r="N609" s="20">
        <f t="shared" si="76"/>
        <v>-2.61812420785804E-2</v>
      </c>
      <c r="O609" s="20">
        <f t="shared" si="77"/>
        <v>-4.7390396659695473E-4</v>
      </c>
      <c r="P609" s="20">
        <f t="shared" si="78"/>
        <v>3.0392798690669475E-3</v>
      </c>
      <c r="Q609" s="20">
        <f t="shared" si="79"/>
        <v>-1.1497179846310922E-2</v>
      </c>
    </row>
    <row r="610" spans="1:17" x14ac:dyDescent="0.2">
      <c r="A610" s="1">
        <v>45448</v>
      </c>
      <c r="B610">
        <v>192.79</v>
      </c>
      <c r="C610">
        <v>62.06</v>
      </c>
      <c r="D610">
        <v>122.4</v>
      </c>
      <c r="E610" s="2">
        <v>5354.03</v>
      </c>
      <c r="F610" s="3">
        <f t="shared" si="72"/>
        <v>-9.555612638068367E-3</v>
      </c>
      <c r="G610" s="3">
        <f t="shared" si="73"/>
        <v>-3.2216494845349608E-4</v>
      </c>
      <c r="H610" s="3">
        <f t="shared" si="74"/>
        <v>5.1546391752577359E-2</v>
      </c>
      <c r="I610" s="3">
        <f t="shared" si="75"/>
        <v>1.1847660516995706E-2</v>
      </c>
      <c r="J610" s="12">
        <v>0.45</v>
      </c>
      <c r="K610" s="13">
        <v>-0.33</v>
      </c>
      <c r="L610" s="13">
        <v>-0.47</v>
      </c>
      <c r="M610" s="20">
        <v>1.2999999999999999E-2</v>
      </c>
      <c r="N610" s="20">
        <f t="shared" si="76"/>
        <v>-2.2555612638068365E-2</v>
      </c>
      <c r="O610" s="20">
        <f t="shared" si="77"/>
        <v>3.8546391752577361E-2</v>
      </c>
      <c r="P610" s="20">
        <f t="shared" si="78"/>
        <v>-1.3322164948453495E-2</v>
      </c>
      <c r="Q610" s="20">
        <f t="shared" si="79"/>
        <v>-1.1523394830042933E-3</v>
      </c>
    </row>
    <row r="611" spans="1:17" x14ac:dyDescent="0.2">
      <c r="A611" s="1">
        <v>45449</v>
      </c>
      <c r="B611">
        <v>192.45</v>
      </c>
      <c r="C611">
        <v>62.29</v>
      </c>
      <c r="D611">
        <v>120.96</v>
      </c>
      <c r="E611" s="2">
        <v>5352.96</v>
      </c>
      <c r="F611" s="3">
        <f t="shared" si="72"/>
        <v>-1.763576949011858E-3</v>
      </c>
      <c r="G611" s="3">
        <f t="shared" si="73"/>
        <v>3.7060908797936776E-3</v>
      </c>
      <c r="H611" s="3">
        <f t="shared" si="74"/>
        <v>-1.176470588235301E-2</v>
      </c>
      <c r="I611" s="3">
        <f t="shared" si="75"/>
        <v>-1.9984945919238051E-4</v>
      </c>
      <c r="J611" s="12">
        <v>0.89</v>
      </c>
      <c r="K611" s="13">
        <v>-0.12</v>
      </c>
      <c r="L611" s="13">
        <v>-0.44</v>
      </c>
      <c r="M611" s="20">
        <v>1.2999999999999999E-2</v>
      </c>
      <c r="N611" s="20">
        <f t="shared" si="76"/>
        <v>-1.4763576949011857E-2</v>
      </c>
      <c r="O611" s="20">
        <f t="shared" si="77"/>
        <v>-2.4764705882353008E-2</v>
      </c>
      <c r="P611" s="20">
        <f t="shared" si="78"/>
        <v>-9.2939091202063218E-3</v>
      </c>
      <c r="Q611" s="20">
        <f t="shared" si="79"/>
        <v>-1.319984945919238E-2</v>
      </c>
    </row>
    <row r="612" spans="1:17" x14ac:dyDescent="0.2">
      <c r="A612" s="1">
        <v>45450</v>
      </c>
      <c r="B612">
        <v>195.42</v>
      </c>
      <c r="C612">
        <v>62.05</v>
      </c>
      <c r="D612">
        <v>120.85</v>
      </c>
      <c r="E612" s="2">
        <v>5346.99</v>
      </c>
      <c r="F612" s="3">
        <f t="shared" si="72"/>
        <v>1.543257989088076E-2</v>
      </c>
      <c r="G612" s="3">
        <f t="shared" si="73"/>
        <v>-3.852945898218052E-3</v>
      </c>
      <c r="H612" s="3">
        <f t="shared" si="74"/>
        <v>-9.0939153439151266E-4</v>
      </c>
      <c r="I612" s="3">
        <f t="shared" si="75"/>
        <v>-1.1152708034434244E-3</v>
      </c>
      <c r="J612" s="13">
        <v>-0.16</v>
      </c>
      <c r="K612" s="12">
        <v>0.35</v>
      </c>
      <c r="L612" s="12">
        <v>0.59</v>
      </c>
      <c r="M612" s="20">
        <v>1.2999999999999999E-2</v>
      </c>
      <c r="N612" s="20">
        <f t="shared" si="76"/>
        <v>2.4325798908807605E-3</v>
      </c>
      <c r="O612" s="20">
        <f t="shared" si="77"/>
        <v>-1.3909391534391512E-2</v>
      </c>
      <c r="P612" s="20">
        <f t="shared" si="78"/>
        <v>-1.685294589821805E-2</v>
      </c>
      <c r="Q612" s="20">
        <f t="shared" si="79"/>
        <v>-1.4115270803443424E-2</v>
      </c>
    </row>
    <row r="613" spans="1:17" x14ac:dyDescent="0.2">
      <c r="A613" s="1">
        <v>45453</v>
      </c>
      <c r="B613">
        <v>195.09</v>
      </c>
      <c r="C613">
        <v>61.74</v>
      </c>
      <c r="D613">
        <v>121.75</v>
      </c>
      <c r="E613" s="2">
        <v>5360.79</v>
      </c>
      <c r="F613" s="3">
        <f t="shared" si="72"/>
        <v>-1.6886705557260795E-3</v>
      </c>
      <c r="G613" s="3">
        <f t="shared" si="73"/>
        <v>-4.9959709911361339E-3</v>
      </c>
      <c r="H613" s="3">
        <f t="shared" si="74"/>
        <v>7.447248655357841E-3</v>
      </c>
      <c r="I613" s="3">
        <f t="shared" si="75"/>
        <v>2.5808913052016713E-3</v>
      </c>
      <c r="J613" s="12">
        <v>0.11</v>
      </c>
      <c r="K613" s="13">
        <v>-7.0000000000000007E-2</v>
      </c>
      <c r="L613" s="12">
        <v>0.11</v>
      </c>
      <c r="M613" s="20">
        <v>1.2999999999999999E-2</v>
      </c>
      <c r="N613" s="20">
        <f t="shared" si="76"/>
        <v>-1.4688670555726079E-2</v>
      </c>
      <c r="O613" s="20">
        <f t="shared" si="77"/>
        <v>-5.5527513446421584E-3</v>
      </c>
      <c r="P613" s="20">
        <f t="shared" si="78"/>
        <v>-1.7995970991136132E-2</v>
      </c>
      <c r="Q613" s="20">
        <f t="shared" si="79"/>
        <v>-1.0419108694798328E-2</v>
      </c>
    </row>
    <row r="614" spans="1:17" x14ac:dyDescent="0.2">
      <c r="A614" s="1">
        <v>45454</v>
      </c>
      <c r="B614">
        <v>189.95</v>
      </c>
      <c r="C614">
        <v>61.7</v>
      </c>
      <c r="D614">
        <v>120.88</v>
      </c>
      <c r="E614" s="2">
        <v>5375.32</v>
      </c>
      <c r="F614" s="3">
        <f t="shared" si="72"/>
        <v>-2.6346814290840181E-2</v>
      </c>
      <c r="G614" s="3">
        <f t="shared" si="73"/>
        <v>-6.4787819889855491E-4</v>
      </c>
      <c r="H614" s="3">
        <f t="shared" si="74"/>
        <v>-7.1457905544147771E-3</v>
      </c>
      <c r="I614" s="3">
        <f t="shared" si="75"/>
        <v>2.7104214117694703E-3</v>
      </c>
      <c r="J614" s="13">
        <v>-0.24</v>
      </c>
      <c r="K614" s="12">
        <v>0.18</v>
      </c>
      <c r="L614" s="12">
        <v>0.18</v>
      </c>
      <c r="M614" s="20">
        <v>1.2999999999999999E-2</v>
      </c>
      <c r="N614" s="20">
        <f t="shared" si="76"/>
        <v>-3.9346814290840179E-2</v>
      </c>
      <c r="O614" s="20">
        <f t="shared" si="77"/>
        <v>-2.0145790554414775E-2</v>
      </c>
      <c r="P614" s="20">
        <f t="shared" si="78"/>
        <v>-1.3647878198898554E-2</v>
      </c>
      <c r="Q614" s="20">
        <f t="shared" si="79"/>
        <v>-1.0289578588230529E-2</v>
      </c>
    </row>
    <row r="615" spans="1:17" x14ac:dyDescent="0.2">
      <c r="A615" s="1">
        <v>45455</v>
      </c>
      <c r="B615">
        <v>187.19</v>
      </c>
      <c r="C615">
        <v>61.05</v>
      </c>
      <c r="D615">
        <v>125.17</v>
      </c>
      <c r="E615" s="2">
        <v>5421.03</v>
      </c>
      <c r="F615" s="3">
        <f t="shared" si="72"/>
        <v>-1.4530139510397388E-2</v>
      </c>
      <c r="G615" s="3">
        <f t="shared" si="73"/>
        <v>-1.0534846029173539E-2</v>
      </c>
      <c r="H615" s="3">
        <f t="shared" si="74"/>
        <v>3.5489741892786197E-2</v>
      </c>
      <c r="I615" s="3">
        <f t="shared" si="75"/>
        <v>8.503679780924589E-3</v>
      </c>
      <c r="J615" s="12">
        <v>0.62</v>
      </c>
      <c r="K615" s="13">
        <v>-0.25</v>
      </c>
      <c r="L615" s="13">
        <v>-0.36</v>
      </c>
      <c r="M615" s="20">
        <v>1.2999999999999999E-2</v>
      </c>
      <c r="N615" s="20">
        <f t="shared" si="76"/>
        <v>-2.7530139510397386E-2</v>
      </c>
      <c r="O615" s="20">
        <f t="shared" si="77"/>
        <v>2.24897418927862E-2</v>
      </c>
      <c r="P615" s="20">
        <f t="shared" si="78"/>
        <v>-2.3534846029173537E-2</v>
      </c>
      <c r="Q615" s="20">
        <f t="shared" si="79"/>
        <v>-4.4963202190754104E-3</v>
      </c>
    </row>
    <row r="616" spans="1:17" x14ac:dyDescent="0.2">
      <c r="A616" s="1">
        <v>45456</v>
      </c>
      <c r="B616">
        <v>189.27</v>
      </c>
      <c r="C616">
        <v>61.16</v>
      </c>
      <c r="D616">
        <v>129.58000000000001</v>
      </c>
      <c r="E616" s="2">
        <v>5433.74</v>
      </c>
      <c r="F616" s="3">
        <f t="shared" si="72"/>
        <v>1.1111704685079493E-2</v>
      </c>
      <c r="G616" s="3">
        <f t="shared" si="73"/>
        <v>1.8018018018017834E-3</v>
      </c>
      <c r="H616" s="3">
        <f t="shared" si="74"/>
        <v>3.5232084365263372E-2</v>
      </c>
      <c r="I616" s="3">
        <f t="shared" si="75"/>
        <v>2.3445728948188194E-3</v>
      </c>
      <c r="J616" s="12">
        <v>0.04</v>
      </c>
      <c r="K616" s="12">
        <v>0.17</v>
      </c>
      <c r="L616" s="12">
        <v>0.61</v>
      </c>
      <c r="M616" s="20">
        <v>1.2999999999999999E-2</v>
      </c>
      <c r="N616" s="20">
        <f t="shared" si="76"/>
        <v>-1.8882953149205062E-3</v>
      </c>
      <c r="O616" s="20">
        <f t="shared" si="77"/>
        <v>2.2232084365263374E-2</v>
      </c>
      <c r="P616" s="20">
        <f t="shared" si="78"/>
        <v>-1.1198198198198216E-2</v>
      </c>
      <c r="Q616" s="20">
        <f t="shared" si="79"/>
        <v>-1.065542710518118E-2</v>
      </c>
    </row>
    <row r="617" spans="1:17" x14ac:dyDescent="0.2">
      <c r="A617" s="1">
        <v>45457</v>
      </c>
      <c r="B617">
        <v>189.39</v>
      </c>
      <c r="C617">
        <v>61.2</v>
      </c>
      <c r="D617">
        <v>131.85</v>
      </c>
      <c r="E617" s="2">
        <v>5431.6</v>
      </c>
      <c r="F617" s="3">
        <f t="shared" si="72"/>
        <v>6.3401489934999944E-4</v>
      </c>
      <c r="G617" s="3">
        <f t="shared" si="73"/>
        <v>6.5402223675614657E-4</v>
      </c>
      <c r="H617" s="3">
        <f t="shared" si="74"/>
        <v>1.7518135514739797E-2</v>
      </c>
      <c r="I617" s="3">
        <f t="shared" si="75"/>
        <v>-3.9383555341243603E-4</v>
      </c>
      <c r="J617" s="12">
        <v>0.43</v>
      </c>
      <c r="K617" s="13">
        <v>-0.09</v>
      </c>
      <c r="L617" s="13">
        <v>-0.34</v>
      </c>
      <c r="M617" s="20">
        <v>1.2999999999999999E-2</v>
      </c>
      <c r="N617" s="20">
        <f t="shared" si="76"/>
        <v>-1.236598510065E-2</v>
      </c>
      <c r="O617" s="20">
        <f t="shared" si="77"/>
        <v>4.5181355147397972E-3</v>
      </c>
      <c r="P617" s="20">
        <f t="shared" si="78"/>
        <v>-1.2345977763243853E-2</v>
      </c>
      <c r="Q617" s="20">
        <f t="shared" si="79"/>
        <v>-1.3393835553412435E-2</v>
      </c>
    </row>
    <row r="618" spans="1:17" x14ac:dyDescent="0.2">
      <c r="A618" s="1">
        <v>45460</v>
      </c>
      <c r="B618">
        <v>190.56</v>
      </c>
      <c r="C618">
        <v>61.27</v>
      </c>
      <c r="D618">
        <v>130.94999999999999</v>
      </c>
      <c r="E618" s="2">
        <v>5473.23</v>
      </c>
      <c r="F618" s="3">
        <f t="shared" si="72"/>
        <v>6.177728496752799E-3</v>
      </c>
      <c r="G618" s="3">
        <f t="shared" si="73"/>
        <v>1.1437908496731986E-3</v>
      </c>
      <c r="H618" s="3">
        <f t="shared" si="74"/>
        <v>-6.8259385665528916E-3</v>
      </c>
      <c r="I618" s="3">
        <f t="shared" si="75"/>
        <v>7.6644082774870448E-3</v>
      </c>
      <c r="J618" s="12">
        <v>0.22</v>
      </c>
      <c r="K618" s="13">
        <v>-0.14000000000000001</v>
      </c>
      <c r="L618" s="12">
        <v>0.28999999999999998</v>
      </c>
      <c r="M618" s="20">
        <v>1.2999999999999999E-2</v>
      </c>
      <c r="N618" s="20">
        <f t="shared" si="76"/>
        <v>-6.8222715032472004E-3</v>
      </c>
      <c r="O618" s="20">
        <f t="shared" si="77"/>
        <v>-1.9825938566552889E-2</v>
      </c>
      <c r="P618" s="20">
        <f t="shared" si="78"/>
        <v>-1.1856209150326801E-2</v>
      </c>
      <c r="Q618" s="20">
        <f t="shared" si="79"/>
        <v>-5.3355917225129546E-3</v>
      </c>
    </row>
    <row r="619" spans="1:17" x14ac:dyDescent="0.2">
      <c r="A619" s="1">
        <v>45461</v>
      </c>
      <c r="B619">
        <v>192.53</v>
      </c>
      <c r="C619">
        <v>61.28</v>
      </c>
      <c r="D619">
        <v>135.55000000000001</v>
      </c>
      <c r="E619" s="2">
        <v>5487.03</v>
      </c>
      <c r="F619" s="3">
        <f t="shared" si="72"/>
        <v>1.033795130142745E-2</v>
      </c>
      <c r="G619" s="3">
        <f t="shared" si="73"/>
        <v>1.6321201240399041E-4</v>
      </c>
      <c r="H619" s="3">
        <f t="shared" si="74"/>
        <v>3.5127911416571456E-2</v>
      </c>
      <c r="I619" s="3">
        <f t="shared" si="75"/>
        <v>2.5213630708009749E-3</v>
      </c>
      <c r="J619" s="12">
        <v>0.78</v>
      </c>
      <c r="K619" s="13">
        <v>-0.35</v>
      </c>
      <c r="L619" s="13">
        <v>-0.79</v>
      </c>
      <c r="M619" s="20">
        <v>1.2999999999999999E-2</v>
      </c>
      <c r="N619" s="20">
        <f t="shared" si="76"/>
        <v>-2.662048698572549E-3</v>
      </c>
      <c r="O619" s="20">
        <f t="shared" si="77"/>
        <v>2.2127911416571458E-2</v>
      </c>
      <c r="P619" s="20">
        <f t="shared" si="78"/>
        <v>-1.2836787987596009E-2</v>
      </c>
      <c r="Q619" s="20">
        <f t="shared" si="79"/>
        <v>-1.0478636929199025E-2</v>
      </c>
    </row>
    <row r="620" spans="1:17" x14ac:dyDescent="0.2">
      <c r="A620" s="1">
        <v>45463</v>
      </c>
      <c r="B620">
        <v>194.17</v>
      </c>
      <c r="C620">
        <v>60.84</v>
      </c>
      <c r="D620">
        <v>130.75</v>
      </c>
      <c r="E620" s="2">
        <v>5473.17</v>
      </c>
      <c r="F620" s="3">
        <f t="shared" si="72"/>
        <v>8.5181530151143825E-3</v>
      </c>
      <c r="G620" s="3">
        <f t="shared" si="73"/>
        <v>-7.1801566579634546E-3</v>
      </c>
      <c r="H620" s="3">
        <f t="shared" si="74"/>
        <v>-3.5411287347842157E-2</v>
      </c>
      <c r="I620" s="3">
        <f t="shared" si="75"/>
        <v>-2.5259566650810417E-3</v>
      </c>
      <c r="J620" s="12">
        <v>0.25</v>
      </c>
      <c r="K620" s="13">
        <v>-0.17</v>
      </c>
      <c r="L620" s="12">
        <v>0.03</v>
      </c>
      <c r="M620" s="20">
        <v>1.2999999999999999E-2</v>
      </c>
      <c r="N620" s="20">
        <f t="shared" si="76"/>
        <v>-4.4818469848856169E-3</v>
      </c>
      <c r="O620" s="20">
        <f t="shared" si="77"/>
        <v>-4.8411287347842155E-2</v>
      </c>
      <c r="P620" s="20">
        <f t="shared" si="78"/>
        <v>-2.0180156657963452E-2</v>
      </c>
      <c r="Q620" s="20">
        <f t="shared" si="79"/>
        <v>-1.5525956665081041E-2</v>
      </c>
    </row>
    <row r="621" spans="1:17" x14ac:dyDescent="0.2">
      <c r="A621" s="1">
        <v>45464</v>
      </c>
      <c r="B621">
        <v>191.85</v>
      </c>
      <c r="C621">
        <v>61.42</v>
      </c>
      <c r="D621">
        <v>126.54</v>
      </c>
      <c r="E621" s="2">
        <v>5464.62</v>
      </c>
      <c r="F621" s="3">
        <f t="shared" si="72"/>
        <v>-1.1948292733171884E-2</v>
      </c>
      <c r="G621" s="3">
        <f t="shared" si="73"/>
        <v>9.5332018408940122E-3</v>
      </c>
      <c r="H621" s="3">
        <f t="shared" si="74"/>
        <v>-3.219885277246648E-2</v>
      </c>
      <c r="I621" s="3">
        <f t="shared" si="75"/>
        <v>-1.5621659842468549E-3</v>
      </c>
      <c r="J621" s="13">
        <v>-0.13</v>
      </c>
      <c r="K621" s="13">
        <v>-0.11</v>
      </c>
      <c r="L621" s="12">
        <v>7.0000000000000007E-2</v>
      </c>
      <c r="M621" s="20">
        <v>1.2999999999999999E-2</v>
      </c>
      <c r="N621" s="20">
        <f t="shared" si="76"/>
        <v>-2.4948292733171881E-2</v>
      </c>
      <c r="O621" s="20">
        <f t="shared" si="77"/>
        <v>-4.5198852772466477E-2</v>
      </c>
      <c r="P621" s="20">
        <f t="shared" si="78"/>
        <v>-3.4667981591059872E-3</v>
      </c>
      <c r="Q621" s="20">
        <f t="shared" si="79"/>
        <v>-1.4562165984246854E-2</v>
      </c>
    </row>
    <row r="622" spans="1:17" x14ac:dyDescent="0.2">
      <c r="A622" s="1">
        <v>45467</v>
      </c>
      <c r="B622">
        <v>194.37</v>
      </c>
      <c r="C622">
        <v>62.59</v>
      </c>
      <c r="D622">
        <v>118.08</v>
      </c>
      <c r="E622" s="2">
        <v>5447.87</v>
      </c>
      <c r="F622" s="3">
        <f t="shared" si="72"/>
        <v>1.3135261923377772E-2</v>
      </c>
      <c r="G622" s="3">
        <f t="shared" si="73"/>
        <v>1.9049169651579323E-2</v>
      </c>
      <c r="H622" s="3">
        <f t="shared" si="74"/>
        <v>-6.6856330014224863E-2</v>
      </c>
      <c r="I622" s="3">
        <f t="shared" si="75"/>
        <v>-3.0651719607218686E-3</v>
      </c>
      <c r="J622" s="13">
        <v>-0.11</v>
      </c>
      <c r="K622" s="13">
        <v>-0.03</v>
      </c>
      <c r="L622" s="13">
        <v>-0.11</v>
      </c>
      <c r="M622" s="20">
        <v>1.2999999999999999E-2</v>
      </c>
      <c r="N622" s="20">
        <f t="shared" si="76"/>
        <v>1.3526192337777292E-4</v>
      </c>
      <c r="O622" s="20">
        <f t="shared" si="77"/>
        <v>-7.9856330014224861E-2</v>
      </c>
      <c r="P622" s="20">
        <f t="shared" si="78"/>
        <v>6.0491696515793236E-3</v>
      </c>
      <c r="Q622" s="20">
        <f t="shared" si="79"/>
        <v>-1.6065171960721866E-2</v>
      </c>
    </row>
    <row r="623" spans="1:17" x14ac:dyDescent="0.2">
      <c r="A623" s="1">
        <v>45468</v>
      </c>
      <c r="B623">
        <v>193.58</v>
      </c>
      <c r="C623">
        <v>62.47</v>
      </c>
      <c r="D623">
        <v>126.06</v>
      </c>
      <c r="E623" s="2">
        <v>5469.3</v>
      </c>
      <c r="F623" s="3">
        <f t="shared" si="72"/>
        <v>-4.0644132324947346E-3</v>
      </c>
      <c r="G623" s="3">
        <f t="shared" si="73"/>
        <v>-1.917239175587282E-3</v>
      </c>
      <c r="H623" s="3">
        <f t="shared" si="74"/>
        <v>6.7581300813008172E-2</v>
      </c>
      <c r="I623" s="3">
        <f t="shared" si="75"/>
        <v>3.9336474622191364E-3</v>
      </c>
      <c r="J623" s="12">
        <v>0.26</v>
      </c>
      <c r="K623" s="13">
        <v>-7.0000000000000007E-2</v>
      </c>
      <c r="L623" s="12">
        <v>0.01</v>
      </c>
      <c r="M623" s="20">
        <v>1.2E-2</v>
      </c>
      <c r="N623" s="20">
        <f t="shared" si="76"/>
        <v>-1.6064413232494735E-2</v>
      </c>
      <c r="O623" s="20">
        <f t="shared" si="77"/>
        <v>5.5581300813008175E-2</v>
      </c>
      <c r="P623" s="20">
        <f t="shared" si="78"/>
        <v>-1.3917239175587282E-2</v>
      </c>
      <c r="Q623" s="20">
        <f t="shared" si="79"/>
        <v>-8.0663525377808638E-3</v>
      </c>
    </row>
    <row r="624" spans="1:17" x14ac:dyDescent="0.2">
      <c r="A624" s="1">
        <v>45469</v>
      </c>
      <c r="B624">
        <v>192.95</v>
      </c>
      <c r="C624">
        <v>62.67</v>
      </c>
      <c r="D624">
        <v>126.37</v>
      </c>
      <c r="E624" s="2">
        <v>5477.9</v>
      </c>
      <c r="F624" s="3">
        <f t="shared" si="72"/>
        <v>-3.2544684368220889E-3</v>
      </c>
      <c r="G624" s="3">
        <f t="shared" si="73"/>
        <v>3.2015367376341253E-3</v>
      </c>
      <c r="H624" s="3">
        <f t="shared" si="74"/>
        <v>2.4591464382039963E-3</v>
      </c>
      <c r="I624" s="3">
        <f t="shared" si="75"/>
        <v>1.5724132887204867E-3</v>
      </c>
      <c r="J624" s="13">
        <v>-0.45</v>
      </c>
      <c r="K624" s="12">
        <v>0.11</v>
      </c>
      <c r="L624" s="13">
        <v>-0.01</v>
      </c>
      <c r="M624" s="20">
        <v>1.2E-2</v>
      </c>
      <c r="N624" s="20">
        <f t="shared" si="76"/>
        <v>-1.5254468436822089E-2</v>
      </c>
      <c r="O624" s="20">
        <f t="shared" si="77"/>
        <v>-9.540853561796004E-3</v>
      </c>
      <c r="P624" s="20">
        <f t="shared" si="78"/>
        <v>-8.798463262365875E-3</v>
      </c>
      <c r="Q624" s="20">
        <f t="shared" si="79"/>
        <v>-1.0427586711279514E-2</v>
      </c>
    </row>
    <row r="625" spans="1:17" x14ac:dyDescent="0.2">
      <c r="A625" s="1">
        <v>45470</v>
      </c>
      <c r="B625">
        <v>194.66</v>
      </c>
      <c r="C625">
        <v>62.54</v>
      </c>
      <c r="D625">
        <v>123.96</v>
      </c>
      <c r="E625" s="2">
        <v>5482.87</v>
      </c>
      <c r="F625" s="3">
        <f t="shared" si="72"/>
        <v>8.862399585384928E-3</v>
      </c>
      <c r="G625" s="3">
        <f t="shared" si="73"/>
        <v>-2.0743577469284347E-3</v>
      </c>
      <c r="H625" s="3">
        <f t="shared" si="74"/>
        <v>-1.9070982036875961E-2</v>
      </c>
      <c r="I625" s="3">
        <f t="shared" si="75"/>
        <v>9.0728198762302092E-4</v>
      </c>
      <c r="J625" s="12">
        <v>0.22</v>
      </c>
      <c r="K625" s="13">
        <v>-0.05</v>
      </c>
      <c r="L625" s="12">
        <v>0.19</v>
      </c>
      <c r="M625" s="20">
        <v>1.2E-2</v>
      </c>
      <c r="N625" s="20">
        <f t="shared" si="76"/>
        <v>-3.1376004146150722E-3</v>
      </c>
      <c r="O625" s="20">
        <f t="shared" si="77"/>
        <v>-3.1070982036875961E-2</v>
      </c>
      <c r="P625" s="20">
        <f t="shared" si="78"/>
        <v>-1.4074357746928435E-2</v>
      </c>
      <c r="Q625" s="20">
        <f t="shared" si="79"/>
        <v>-1.1092718012376979E-2</v>
      </c>
    </row>
    <row r="626" spans="1:17" x14ac:dyDescent="0.2">
      <c r="A626" s="1">
        <v>45471</v>
      </c>
      <c r="B626">
        <v>197.68</v>
      </c>
      <c r="C626">
        <v>62.28</v>
      </c>
      <c r="D626">
        <v>123.51</v>
      </c>
      <c r="E626" s="2">
        <v>5460.48</v>
      </c>
      <c r="F626" s="3">
        <f t="shared" si="72"/>
        <v>1.5514229939381563E-2</v>
      </c>
      <c r="G626" s="3">
        <f t="shared" si="73"/>
        <v>-4.1573393028461192E-3</v>
      </c>
      <c r="H626" s="3">
        <f t="shared" si="74"/>
        <v>-3.6302032913841931E-3</v>
      </c>
      <c r="I626" s="3">
        <f t="shared" si="75"/>
        <v>-4.0836277351096184E-3</v>
      </c>
      <c r="J626" s="12">
        <v>0.22</v>
      </c>
      <c r="K626" s="12">
        <v>0.15</v>
      </c>
      <c r="L626" s="11">
        <v>0.2</v>
      </c>
      <c r="M626" s="20">
        <v>1.2E-2</v>
      </c>
      <c r="N626" s="20">
        <f t="shared" si="76"/>
        <v>3.5142299393815628E-3</v>
      </c>
      <c r="O626" s="20">
        <f t="shared" si="77"/>
        <v>-1.5630203291384193E-2</v>
      </c>
      <c r="P626" s="20">
        <f t="shared" si="78"/>
        <v>-1.6157339302846119E-2</v>
      </c>
      <c r="Q626" s="20">
        <f t="shared" si="79"/>
        <v>-1.6083627735109619E-2</v>
      </c>
    </row>
    <row r="627" spans="1:17" x14ac:dyDescent="0.2">
      <c r="A627" s="1">
        <v>45474</v>
      </c>
      <c r="B627">
        <v>200.79</v>
      </c>
      <c r="C627">
        <v>61.92</v>
      </c>
      <c r="D627">
        <v>124.27</v>
      </c>
      <c r="E627" s="2">
        <v>5475.09</v>
      </c>
      <c r="F627" s="3">
        <f t="shared" si="72"/>
        <v>1.5732496964791398E-2</v>
      </c>
      <c r="G627" s="3">
        <f t="shared" si="73"/>
        <v>-5.7803468208091902E-3</v>
      </c>
      <c r="H627" s="3">
        <f t="shared" si="74"/>
        <v>6.1533479070519093E-3</v>
      </c>
      <c r="I627" s="3">
        <f t="shared" si="75"/>
        <v>2.6755889592124937E-3</v>
      </c>
      <c r="J627" s="12">
        <v>0.73</v>
      </c>
      <c r="K627" s="13">
        <v>-0.25</v>
      </c>
      <c r="L627" s="13">
        <v>-0.32</v>
      </c>
      <c r="M627" s="20">
        <v>1.2E-2</v>
      </c>
      <c r="N627" s="20">
        <f t="shared" si="76"/>
        <v>3.7324969647913979E-3</v>
      </c>
      <c r="O627" s="20">
        <f t="shared" si="77"/>
        <v>-5.846652092948091E-3</v>
      </c>
      <c r="P627" s="20">
        <f t="shared" si="78"/>
        <v>-1.778034682080919E-2</v>
      </c>
      <c r="Q627" s="20">
        <f t="shared" si="79"/>
        <v>-9.3244110407875065E-3</v>
      </c>
    </row>
    <row r="628" spans="1:17" x14ac:dyDescent="0.2">
      <c r="A628" s="1">
        <v>45475</v>
      </c>
      <c r="B628">
        <v>204.1</v>
      </c>
      <c r="C628">
        <v>61.79</v>
      </c>
      <c r="D628">
        <v>122.64</v>
      </c>
      <c r="E628" s="2">
        <v>5509.01</v>
      </c>
      <c r="F628" s="3">
        <f t="shared" si="72"/>
        <v>1.6484884705413538E-2</v>
      </c>
      <c r="G628" s="3">
        <f t="shared" si="73"/>
        <v>-2.0994832041344447E-3</v>
      </c>
      <c r="H628" s="3">
        <f t="shared" si="74"/>
        <v>-1.3116600949545254E-2</v>
      </c>
      <c r="I628" s="3">
        <f t="shared" si="75"/>
        <v>6.195331948881222E-3</v>
      </c>
      <c r="J628" s="13">
        <v>-0.35</v>
      </c>
      <c r="K628" s="12">
        <v>0.12</v>
      </c>
      <c r="L628" s="12">
        <v>0.49</v>
      </c>
      <c r="M628" s="20">
        <v>1.2E-2</v>
      </c>
      <c r="N628" s="20">
        <f t="shared" si="76"/>
        <v>4.4848847054135381E-3</v>
      </c>
      <c r="O628" s="20">
        <f t="shared" si="77"/>
        <v>-2.5116600949545254E-2</v>
      </c>
      <c r="P628" s="20">
        <f t="shared" si="78"/>
        <v>-1.4099483204134445E-2</v>
      </c>
      <c r="Q628" s="20">
        <f t="shared" si="79"/>
        <v>-5.8046680511187783E-3</v>
      </c>
    </row>
    <row r="629" spans="1:17" x14ac:dyDescent="0.2">
      <c r="A629" s="1">
        <v>45476</v>
      </c>
      <c r="B629">
        <v>203.96</v>
      </c>
      <c r="C629">
        <v>61.97</v>
      </c>
      <c r="D629">
        <v>128.25</v>
      </c>
      <c r="E629" s="2">
        <v>5537.02</v>
      </c>
      <c r="F629" s="3">
        <f t="shared" si="72"/>
        <v>-6.8593826555607418E-4</v>
      </c>
      <c r="G629" s="3">
        <f t="shared" si="73"/>
        <v>2.9130927334519718E-3</v>
      </c>
      <c r="H629" s="3">
        <f t="shared" si="74"/>
        <v>4.5743639921722146E-2</v>
      </c>
      <c r="I629" s="3">
        <f t="shared" si="75"/>
        <v>5.0843981041965858E-3</v>
      </c>
      <c r="J629" s="17">
        <v>-1.1200000000000001</v>
      </c>
      <c r="K629" s="12">
        <v>0.16</v>
      </c>
      <c r="L629" s="12">
        <v>0.01</v>
      </c>
      <c r="M629" s="20">
        <v>1.2E-2</v>
      </c>
      <c r="N629" s="20">
        <f t="shared" si="76"/>
        <v>-1.2685938265556074E-2</v>
      </c>
      <c r="O629" s="20">
        <f t="shared" si="77"/>
        <v>3.3743639921722149E-2</v>
      </c>
      <c r="P629" s="20">
        <f t="shared" si="78"/>
        <v>-9.0869072665480284E-3</v>
      </c>
      <c r="Q629" s="20">
        <f t="shared" si="79"/>
        <v>-6.9156018958034145E-3</v>
      </c>
    </row>
    <row r="630" spans="1:17" x14ac:dyDescent="0.2">
      <c r="A630" s="1">
        <v>45478</v>
      </c>
      <c r="B630">
        <v>201.26</v>
      </c>
      <c r="C630">
        <v>62.39</v>
      </c>
      <c r="D630">
        <v>125.8</v>
      </c>
      <c r="E630" s="2">
        <v>5567.19</v>
      </c>
      <c r="F630" s="3">
        <f t="shared" si="72"/>
        <v>-1.323788978231033E-2</v>
      </c>
      <c r="G630" s="3">
        <f t="shared" si="73"/>
        <v>6.777472970792342E-3</v>
      </c>
      <c r="H630" s="3">
        <f t="shared" si="74"/>
        <v>-1.9103313840155955E-2</v>
      </c>
      <c r="I630" s="3">
        <f t="shared" si="75"/>
        <v>5.4487793072806046E-3</v>
      </c>
      <c r="J630" s="12">
        <v>0.12</v>
      </c>
      <c r="K630" s="13">
        <v>-0.02</v>
      </c>
      <c r="L630" s="14">
        <v>-0.3</v>
      </c>
      <c r="M630" s="20">
        <v>1.2E-2</v>
      </c>
      <c r="N630" s="20">
        <f t="shared" si="76"/>
        <v>-2.5237889782310331E-2</v>
      </c>
      <c r="O630" s="20">
        <f t="shared" si="77"/>
        <v>-3.1103313840155956E-2</v>
      </c>
      <c r="P630" s="20">
        <f t="shared" si="78"/>
        <v>-5.2225270292076582E-3</v>
      </c>
      <c r="Q630" s="20">
        <f t="shared" si="79"/>
        <v>-6.5512206927193957E-3</v>
      </c>
    </row>
    <row r="631" spans="1:17" x14ac:dyDescent="0.2">
      <c r="A631" s="1">
        <v>45481</v>
      </c>
      <c r="B631">
        <v>201.63</v>
      </c>
      <c r="C631">
        <v>61.61</v>
      </c>
      <c r="D631">
        <v>128.16999999999999</v>
      </c>
      <c r="E631" s="2">
        <v>5572.85</v>
      </c>
      <c r="F631" s="3">
        <f t="shared" si="72"/>
        <v>1.8384179668091694E-3</v>
      </c>
      <c r="G631" s="3">
        <f t="shared" si="73"/>
        <v>-1.2502003526206118E-2</v>
      </c>
      <c r="H631" s="3">
        <f t="shared" si="74"/>
        <v>1.8839427662957098E-2</v>
      </c>
      <c r="I631" s="3">
        <f t="shared" si="75"/>
        <v>1.0166708878267539E-3</v>
      </c>
      <c r="J631" s="14">
        <v>-0.2</v>
      </c>
      <c r="K631" s="12">
        <v>0.05</v>
      </c>
      <c r="L631" s="13">
        <v>-0.04</v>
      </c>
      <c r="M631" s="20">
        <v>1.2E-2</v>
      </c>
      <c r="N631" s="20">
        <f t="shared" si="76"/>
        <v>-1.0161582033190831E-2</v>
      </c>
      <c r="O631" s="20">
        <f t="shared" si="77"/>
        <v>6.8394276629570976E-3</v>
      </c>
      <c r="P631" s="20">
        <f t="shared" si="78"/>
        <v>-2.4502003526206118E-2</v>
      </c>
      <c r="Q631" s="20">
        <f t="shared" si="79"/>
        <v>-1.0983329112173246E-2</v>
      </c>
    </row>
    <row r="632" spans="1:17" x14ac:dyDescent="0.2">
      <c r="A632" s="1">
        <v>45482</v>
      </c>
      <c r="B632">
        <v>204.05</v>
      </c>
      <c r="C632">
        <v>61.34</v>
      </c>
      <c r="D632">
        <v>131.35</v>
      </c>
      <c r="E632" s="2">
        <v>5576.98</v>
      </c>
      <c r="F632" s="3">
        <f t="shared" si="72"/>
        <v>1.2002182214948309E-2</v>
      </c>
      <c r="G632" s="3">
        <f t="shared" si="73"/>
        <v>-4.3824054536600876E-3</v>
      </c>
      <c r="H632" s="3">
        <f t="shared" si="74"/>
        <v>2.4810798158695579E-2</v>
      </c>
      <c r="I632" s="3">
        <f t="shared" si="75"/>
        <v>7.410929775606423E-4</v>
      </c>
      <c r="J632" s="12">
        <v>0.12</v>
      </c>
      <c r="K632" s="12">
        <v>0.08</v>
      </c>
      <c r="L632" s="13">
        <v>-0.14000000000000001</v>
      </c>
      <c r="M632" s="20">
        <v>1.2E-2</v>
      </c>
      <c r="N632" s="20">
        <f t="shared" si="76"/>
        <v>2.1822149483090303E-6</v>
      </c>
      <c r="O632" s="20">
        <f t="shared" si="77"/>
        <v>1.2810798158695579E-2</v>
      </c>
      <c r="P632" s="20">
        <f t="shared" si="78"/>
        <v>-1.6382405453660088E-2</v>
      </c>
      <c r="Q632" s="20">
        <f t="shared" si="79"/>
        <v>-1.1258907022439358E-2</v>
      </c>
    </row>
    <row r="633" spans="1:17" x14ac:dyDescent="0.2">
      <c r="A633" s="1">
        <v>45483</v>
      </c>
      <c r="B633">
        <v>204.22</v>
      </c>
      <c r="C633">
        <v>61.48</v>
      </c>
      <c r="D633">
        <v>134.88</v>
      </c>
      <c r="E633" s="2">
        <v>5633.91</v>
      </c>
      <c r="F633" s="3">
        <f t="shared" si="72"/>
        <v>8.3312913501587538E-4</v>
      </c>
      <c r="G633" s="3">
        <f t="shared" si="73"/>
        <v>2.2823606129767082E-3</v>
      </c>
      <c r="H633" s="3">
        <f t="shared" si="74"/>
        <v>2.687476208602968E-2</v>
      </c>
      <c r="I633" s="3">
        <f t="shared" si="75"/>
        <v>1.0208033738690059E-2</v>
      </c>
      <c r="J633" s="13">
        <v>-0.05</v>
      </c>
      <c r="K633" s="12">
        <v>0.04</v>
      </c>
      <c r="L633" s="12">
        <v>0.22</v>
      </c>
      <c r="M633" s="20">
        <v>1.2E-2</v>
      </c>
      <c r="N633" s="20">
        <f t="shared" si="76"/>
        <v>-1.1166870864984125E-2</v>
      </c>
      <c r="O633" s="20">
        <f t="shared" si="77"/>
        <v>1.487476208602968E-2</v>
      </c>
      <c r="P633" s="20">
        <f t="shared" si="78"/>
        <v>-9.717639387023292E-3</v>
      </c>
      <c r="Q633" s="20">
        <f t="shared" si="79"/>
        <v>-1.7919662613099414E-3</v>
      </c>
    </row>
    <row r="634" spans="1:17" x14ac:dyDescent="0.2">
      <c r="A634" s="1">
        <v>45484</v>
      </c>
      <c r="B634">
        <v>203.87</v>
      </c>
      <c r="C634">
        <v>61.74</v>
      </c>
      <c r="D634">
        <v>127.37</v>
      </c>
      <c r="E634" s="2">
        <v>5584.54</v>
      </c>
      <c r="F634" s="3">
        <f t="shared" si="72"/>
        <v>-1.7138380178238766E-3</v>
      </c>
      <c r="G634" s="3">
        <f t="shared" si="73"/>
        <v>4.2290175666883645E-3</v>
      </c>
      <c r="H634" s="3">
        <f t="shared" si="74"/>
        <v>-5.5679122182680785E-2</v>
      </c>
      <c r="I634" s="3">
        <f t="shared" si="75"/>
        <v>-8.763008283767415E-3</v>
      </c>
      <c r="J634" s="13">
        <v>-0.66</v>
      </c>
      <c r="K634" s="12">
        <v>0.54</v>
      </c>
      <c r="L634" s="12">
        <v>0.05</v>
      </c>
      <c r="M634" s="20">
        <v>1.2E-2</v>
      </c>
      <c r="N634" s="20">
        <f t="shared" si="76"/>
        <v>-1.3713838017823877E-2</v>
      </c>
      <c r="O634" s="20">
        <f t="shared" si="77"/>
        <v>-6.7679122182680782E-2</v>
      </c>
      <c r="P634" s="20">
        <f t="shared" si="78"/>
        <v>-7.7709824333116358E-3</v>
      </c>
      <c r="Q634" s="20">
        <f t="shared" si="79"/>
        <v>-2.0763008283767415E-2</v>
      </c>
    </row>
    <row r="635" spans="1:17" x14ac:dyDescent="0.2">
      <c r="A635" s="1">
        <v>45485</v>
      </c>
      <c r="B635">
        <v>201.4</v>
      </c>
      <c r="C635">
        <v>62.33</v>
      </c>
      <c r="D635">
        <v>129.21</v>
      </c>
      <c r="E635" s="2">
        <v>5615.35</v>
      </c>
      <c r="F635" s="3">
        <f t="shared" si="72"/>
        <v>-1.2115563839701804E-2</v>
      </c>
      <c r="G635" s="3">
        <f t="shared" si="73"/>
        <v>9.5562034337544066E-3</v>
      </c>
      <c r="H635" s="3">
        <f t="shared" si="74"/>
        <v>1.4446101907827691E-2</v>
      </c>
      <c r="I635" s="3">
        <f t="shared" si="75"/>
        <v>5.5170166208855509E-3</v>
      </c>
      <c r="J635" s="15">
        <v>1.38</v>
      </c>
      <c r="K635" s="13">
        <v>-0.67</v>
      </c>
      <c r="L635" s="14">
        <v>-0.3</v>
      </c>
      <c r="M635" s="20">
        <v>1.2E-2</v>
      </c>
      <c r="N635" s="20">
        <f t="shared" si="76"/>
        <v>-2.4115563839701804E-2</v>
      </c>
      <c r="O635" s="20">
        <f t="shared" si="77"/>
        <v>2.4461019078276906E-3</v>
      </c>
      <c r="P635" s="20">
        <f t="shared" si="78"/>
        <v>-2.4437965662455936E-3</v>
      </c>
      <c r="Q635" s="20">
        <f t="shared" si="79"/>
        <v>-6.4829833791144494E-3</v>
      </c>
    </row>
    <row r="636" spans="1:17" x14ac:dyDescent="0.2">
      <c r="A636" s="1">
        <v>45488</v>
      </c>
      <c r="B636">
        <v>206.43</v>
      </c>
      <c r="C636">
        <v>62.05</v>
      </c>
      <c r="D636">
        <v>128.41</v>
      </c>
      <c r="E636" s="2">
        <v>5631.22</v>
      </c>
      <c r="F636" s="3">
        <f t="shared" si="72"/>
        <v>2.4975173783515325E-2</v>
      </c>
      <c r="G636" s="3">
        <f t="shared" si="73"/>
        <v>-4.4922188352318759E-3</v>
      </c>
      <c r="H636" s="3">
        <f t="shared" si="74"/>
        <v>-6.1914712483555068E-3</v>
      </c>
      <c r="I636" s="3">
        <f t="shared" si="75"/>
        <v>2.826181805230199E-3</v>
      </c>
      <c r="J636" s="12">
        <v>0.79</v>
      </c>
      <c r="K636" s="13">
        <v>-0.21</v>
      </c>
      <c r="L636" s="12">
        <v>0.22</v>
      </c>
      <c r="M636" s="20">
        <v>1.2E-2</v>
      </c>
      <c r="N636" s="20">
        <f t="shared" si="76"/>
        <v>1.2975173783515325E-2</v>
      </c>
      <c r="O636" s="20">
        <f t="shared" si="77"/>
        <v>-1.8191471248355507E-2</v>
      </c>
      <c r="P636" s="20">
        <f t="shared" si="78"/>
        <v>-1.6492218835231876E-2</v>
      </c>
      <c r="Q636" s="20">
        <f t="shared" si="79"/>
        <v>-9.1738181947698012E-3</v>
      </c>
    </row>
    <row r="637" spans="1:17" x14ac:dyDescent="0.2">
      <c r="A637" s="1">
        <v>45489</v>
      </c>
      <c r="B637">
        <v>209.93</v>
      </c>
      <c r="C637">
        <v>62.89</v>
      </c>
      <c r="D637">
        <v>126.33</v>
      </c>
      <c r="E637" s="2">
        <v>5667.2</v>
      </c>
      <c r="F637" s="3">
        <f t="shared" si="72"/>
        <v>1.6954899966090231E-2</v>
      </c>
      <c r="G637" s="3">
        <f t="shared" si="73"/>
        <v>1.3537469782433531E-2</v>
      </c>
      <c r="H637" s="3">
        <f t="shared" si="74"/>
        <v>-1.6198115411572345E-2</v>
      </c>
      <c r="I637" s="3">
        <f t="shared" si="75"/>
        <v>6.3893792108991043E-3</v>
      </c>
      <c r="J637" s="12">
        <v>0.28999999999999998</v>
      </c>
      <c r="K637" s="13">
        <v>-0.32</v>
      </c>
      <c r="L637" s="13">
        <v>-0.48</v>
      </c>
      <c r="M637" s="20">
        <v>1.2E-2</v>
      </c>
      <c r="N637" s="20">
        <f t="shared" si="76"/>
        <v>4.9548999660902308E-3</v>
      </c>
      <c r="O637" s="20">
        <f t="shared" si="77"/>
        <v>-2.8198115411572345E-2</v>
      </c>
      <c r="P637" s="20">
        <f t="shared" si="78"/>
        <v>1.5374697824335308E-3</v>
      </c>
      <c r="Q637" s="20">
        <f t="shared" si="79"/>
        <v>-5.6106207891008959E-3</v>
      </c>
    </row>
    <row r="638" spans="1:17" x14ac:dyDescent="0.2">
      <c r="A638" s="1">
        <v>45490</v>
      </c>
      <c r="B638">
        <v>213.13</v>
      </c>
      <c r="C638">
        <v>63.81</v>
      </c>
      <c r="D638">
        <v>117.96</v>
      </c>
      <c r="E638" s="2">
        <v>5588.27</v>
      </c>
      <c r="F638" s="3">
        <f t="shared" si="72"/>
        <v>1.5243176296860783E-2</v>
      </c>
      <c r="G638" s="3">
        <f t="shared" si="73"/>
        <v>1.4628716807123521E-2</v>
      </c>
      <c r="H638" s="3">
        <f t="shared" si="74"/>
        <v>-6.625504630729051E-2</v>
      </c>
      <c r="I638" s="3">
        <f t="shared" si="75"/>
        <v>-1.3927512704686507E-2</v>
      </c>
      <c r="J638" s="12">
        <v>0.28000000000000003</v>
      </c>
      <c r="K638" s="12">
        <v>0.02</v>
      </c>
      <c r="L638" s="12">
        <v>0.51</v>
      </c>
      <c r="M638" s="20">
        <v>1.2E-2</v>
      </c>
      <c r="N638" s="20">
        <f t="shared" si="76"/>
        <v>3.2431762968607829E-3</v>
      </c>
      <c r="O638" s="20">
        <f t="shared" si="77"/>
        <v>-7.8255046307290507E-2</v>
      </c>
      <c r="P638" s="20">
        <f t="shared" si="78"/>
        <v>2.6287168071235205E-3</v>
      </c>
      <c r="Q638" s="20">
        <f t="shared" si="79"/>
        <v>-2.5927512704686507E-2</v>
      </c>
    </row>
    <row r="639" spans="1:17" x14ac:dyDescent="0.2">
      <c r="A639" s="1">
        <v>45491</v>
      </c>
      <c r="B639">
        <v>206.36</v>
      </c>
      <c r="C639">
        <v>63.79</v>
      </c>
      <c r="D639">
        <v>121.06</v>
      </c>
      <c r="E639" s="2">
        <v>5544.59</v>
      </c>
      <c r="F639" s="3">
        <f t="shared" si="72"/>
        <v>-3.1764650682681861E-2</v>
      </c>
      <c r="G639" s="3">
        <f t="shared" si="73"/>
        <v>-3.1343049678733692E-4</v>
      </c>
      <c r="H639" s="3">
        <f t="shared" si="74"/>
        <v>2.6280094947439991E-2</v>
      </c>
      <c r="I639" s="3">
        <f t="shared" si="75"/>
        <v>-7.8163725088444824E-3</v>
      </c>
      <c r="J639" s="12">
        <v>0.23</v>
      </c>
      <c r="K639" s="12">
        <v>7.0000000000000007E-2</v>
      </c>
      <c r="L639" s="13">
        <v>-7.0000000000000007E-2</v>
      </c>
      <c r="M639" s="20">
        <v>1.2E-2</v>
      </c>
      <c r="N639" s="20">
        <f t="shared" si="76"/>
        <v>-4.3764650682681858E-2</v>
      </c>
      <c r="O639" s="20">
        <f t="shared" si="77"/>
        <v>1.4280094947439991E-2</v>
      </c>
      <c r="P639" s="20">
        <f t="shared" si="78"/>
        <v>-1.2313430496787337E-2</v>
      </c>
      <c r="Q639" s="20">
        <f t="shared" si="79"/>
        <v>-1.9816372508844483E-2</v>
      </c>
    </row>
    <row r="640" spans="1:17" x14ac:dyDescent="0.2">
      <c r="A640" s="1">
        <v>45492</v>
      </c>
      <c r="B640">
        <v>206.16</v>
      </c>
      <c r="C640">
        <v>63.89</v>
      </c>
      <c r="D640">
        <v>117.9</v>
      </c>
      <c r="E640" s="2">
        <v>5505</v>
      </c>
      <c r="F640" s="3">
        <f t="shared" si="72"/>
        <v>-9.6918007365776049E-4</v>
      </c>
      <c r="G640" s="3">
        <f t="shared" si="73"/>
        <v>1.5676438313214636E-3</v>
      </c>
      <c r="H640" s="3">
        <f t="shared" si="74"/>
        <v>-2.6102758962497918E-2</v>
      </c>
      <c r="I640" s="3">
        <f t="shared" si="75"/>
        <v>-7.1402935113327182E-3</v>
      </c>
      <c r="J640" s="12">
        <v>0.98</v>
      </c>
      <c r="K640" s="14">
        <v>-0.4</v>
      </c>
      <c r="L640" s="13">
        <v>-0.46</v>
      </c>
      <c r="M640" s="20">
        <v>1.2E-2</v>
      </c>
      <c r="N640" s="20">
        <f t="shared" si="76"/>
        <v>-1.2969180073657761E-2</v>
      </c>
      <c r="O640" s="20">
        <f t="shared" si="77"/>
        <v>-3.8102758962497915E-2</v>
      </c>
      <c r="P640" s="20">
        <f t="shared" si="78"/>
        <v>-1.0432356168678537E-2</v>
      </c>
      <c r="Q640" s="20">
        <f t="shared" si="79"/>
        <v>-1.9140293511332718E-2</v>
      </c>
    </row>
    <row r="641" spans="1:17" x14ac:dyDescent="0.2">
      <c r="A641" s="1">
        <v>45495</v>
      </c>
      <c r="B641">
        <v>206.65</v>
      </c>
      <c r="C641">
        <v>63.38</v>
      </c>
      <c r="D641">
        <v>123.51</v>
      </c>
      <c r="E641" s="2">
        <v>5564.41</v>
      </c>
      <c r="F641" s="3">
        <f t="shared" si="72"/>
        <v>2.3767947225457053E-3</v>
      </c>
      <c r="G641" s="3">
        <f t="shared" si="73"/>
        <v>-7.9824698700892149E-3</v>
      </c>
      <c r="H641" s="3">
        <f t="shared" si="74"/>
        <v>4.7582697201017821E-2</v>
      </c>
      <c r="I641" s="3">
        <f t="shared" si="75"/>
        <v>1.0792007266121617E-2</v>
      </c>
      <c r="J641" s="12">
        <v>0.14000000000000001</v>
      </c>
      <c r="K641" s="11">
        <v>0</v>
      </c>
      <c r="L641" s="13">
        <v>-0.61</v>
      </c>
      <c r="M641" s="20">
        <v>1.2E-2</v>
      </c>
      <c r="N641" s="20">
        <f t="shared" si="76"/>
        <v>-9.6232052774542949E-3</v>
      </c>
      <c r="O641" s="20">
        <f t="shared" si="77"/>
        <v>3.5582697201017824E-2</v>
      </c>
      <c r="P641" s="20">
        <f t="shared" si="78"/>
        <v>-1.9982469870089215E-2</v>
      </c>
      <c r="Q641" s="20">
        <f t="shared" si="79"/>
        <v>-1.2079927338783832E-3</v>
      </c>
    </row>
    <row r="642" spans="1:17" x14ac:dyDescent="0.2">
      <c r="A642" s="1">
        <v>45496</v>
      </c>
      <c r="B642">
        <v>206.7</v>
      </c>
      <c r="C642">
        <v>63.56</v>
      </c>
      <c r="D642">
        <v>122.56</v>
      </c>
      <c r="E642" s="2">
        <v>5555.74</v>
      </c>
      <c r="F642" s="3">
        <f t="shared" si="72"/>
        <v>2.4195499637058582E-4</v>
      </c>
      <c r="G642" s="3">
        <f t="shared" si="73"/>
        <v>2.8400126222782873E-3</v>
      </c>
      <c r="H642" s="3">
        <f t="shared" si="74"/>
        <v>-7.6916848838151086E-3</v>
      </c>
      <c r="I642" s="3">
        <f t="shared" si="75"/>
        <v>-1.558116673645582E-3</v>
      </c>
      <c r="J642" s="11">
        <v>0</v>
      </c>
      <c r="K642" s="12">
        <v>0.03</v>
      </c>
      <c r="L642" s="12">
        <v>0.03</v>
      </c>
      <c r="M642" s="20">
        <v>1.2E-2</v>
      </c>
      <c r="N642" s="20">
        <f t="shared" si="76"/>
        <v>-1.1758045003629414E-2</v>
      </c>
      <c r="O642" s="20">
        <f t="shared" si="77"/>
        <v>-1.9691684883815109E-2</v>
      </c>
      <c r="P642" s="20">
        <f t="shared" si="78"/>
        <v>-9.1599873777217129E-3</v>
      </c>
      <c r="Q642" s="20">
        <f t="shared" si="79"/>
        <v>-1.3558116673645582E-2</v>
      </c>
    </row>
    <row r="643" spans="1:17" x14ac:dyDescent="0.2">
      <c r="A643" s="1">
        <v>45497</v>
      </c>
      <c r="B643">
        <v>204.99</v>
      </c>
      <c r="C643">
        <v>64.39</v>
      </c>
      <c r="D643">
        <v>114.22</v>
      </c>
      <c r="E643" s="2">
        <v>5427.13</v>
      </c>
      <c r="F643" s="3">
        <f t="shared" si="72"/>
        <v>-8.2728592162553127E-3</v>
      </c>
      <c r="G643" s="3">
        <f t="shared" si="73"/>
        <v>1.3058527375708007E-2</v>
      </c>
      <c r="H643" s="3">
        <f t="shared" si="74"/>
        <v>-6.8048302872062649E-2</v>
      </c>
      <c r="I643" s="3">
        <f t="shared" si="75"/>
        <v>-2.3149031452155744E-2</v>
      </c>
      <c r="J643" s="15">
        <v>1.38</v>
      </c>
      <c r="K643" s="13">
        <v>-0.36</v>
      </c>
      <c r="L643" s="13">
        <v>-0.19</v>
      </c>
      <c r="M643" s="20">
        <v>1.2E-2</v>
      </c>
      <c r="N643" s="20">
        <f t="shared" si="76"/>
        <v>-2.0272859216255313E-2</v>
      </c>
      <c r="O643" s="20">
        <f t="shared" si="77"/>
        <v>-8.0048302872062646E-2</v>
      </c>
      <c r="P643" s="20">
        <f t="shared" si="78"/>
        <v>1.0585273757080065E-3</v>
      </c>
      <c r="Q643" s="20">
        <f t="shared" si="79"/>
        <v>-3.5149031452155741E-2</v>
      </c>
    </row>
    <row r="644" spans="1:17" x14ac:dyDescent="0.2">
      <c r="A644" s="1">
        <v>45498</v>
      </c>
      <c r="B644">
        <v>205.07</v>
      </c>
      <c r="C644">
        <v>64.650000000000006</v>
      </c>
      <c r="D644">
        <v>112.25</v>
      </c>
      <c r="E644" s="2">
        <v>5399.22</v>
      </c>
      <c r="F644" s="3">
        <f t="shared" ref="F644:F707" si="80">(B644/B643)-1</f>
        <v>3.9026293965549463E-4</v>
      </c>
      <c r="G644" s="3">
        <f t="shared" ref="G644:G707" si="81">(C644/C643)-1</f>
        <v>4.037894082932203E-3</v>
      </c>
      <c r="H644" s="3">
        <f t="shared" ref="H644:H707" si="82">(D644/D643)-1</f>
        <v>-1.7247417264927289E-2</v>
      </c>
      <c r="I644" s="3">
        <f t="shared" ref="I644:I707" si="83">(E644/E643)-1</f>
        <v>-5.1426813066942634E-3</v>
      </c>
      <c r="J644" s="12">
        <v>0.28000000000000003</v>
      </c>
      <c r="K644" s="13">
        <v>-0.11</v>
      </c>
      <c r="L644" s="13">
        <v>-0.06</v>
      </c>
      <c r="M644" s="20">
        <v>1.2E-2</v>
      </c>
      <c r="N644" s="20">
        <f t="shared" ref="N644:N707" si="84">F644-M644</f>
        <v>-1.1609737060344506E-2</v>
      </c>
      <c r="O644" s="20">
        <f t="shared" ref="O644:O707" si="85">H644-M644</f>
        <v>-2.924741726492729E-2</v>
      </c>
      <c r="P644" s="20">
        <f t="shared" ref="P644:P707" si="86">G644-M644</f>
        <v>-7.9621059170677973E-3</v>
      </c>
      <c r="Q644" s="20">
        <f t="shared" ref="Q644:Q707" si="87">I644-M644</f>
        <v>-1.7142681306694264E-2</v>
      </c>
    </row>
    <row r="645" spans="1:17" x14ac:dyDescent="0.2">
      <c r="A645" s="1">
        <v>45499</v>
      </c>
      <c r="B645">
        <v>208.58</v>
      </c>
      <c r="C645">
        <v>65.61</v>
      </c>
      <c r="D645">
        <v>113.03</v>
      </c>
      <c r="E645" s="2">
        <v>5459.1</v>
      </c>
      <c r="F645" s="3">
        <f t="shared" si="80"/>
        <v>1.7116106695274969E-2</v>
      </c>
      <c r="G645" s="3">
        <f t="shared" si="81"/>
        <v>1.4849187935034758E-2</v>
      </c>
      <c r="H645" s="3">
        <f t="shared" si="82"/>
        <v>6.9487750556793682E-3</v>
      </c>
      <c r="I645" s="3">
        <f t="shared" si="83"/>
        <v>1.1090490848678192E-2</v>
      </c>
      <c r="J645" s="13">
        <v>-0.28999999999999998</v>
      </c>
      <c r="K645" s="12">
        <v>0.13</v>
      </c>
      <c r="L645" s="13">
        <v>-0.61</v>
      </c>
      <c r="M645" s="20">
        <v>1.2E-2</v>
      </c>
      <c r="N645" s="20">
        <f t="shared" si="84"/>
        <v>5.1161066952749683E-3</v>
      </c>
      <c r="O645" s="20">
        <f t="shared" si="85"/>
        <v>-5.0512249443206321E-3</v>
      </c>
      <c r="P645" s="20">
        <f t="shared" si="86"/>
        <v>2.8491879350347575E-3</v>
      </c>
      <c r="Q645" s="20">
        <f t="shared" si="87"/>
        <v>-9.0950915132180857E-4</v>
      </c>
    </row>
    <row r="646" spans="1:17" x14ac:dyDescent="0.2">
      <c r="A646" s="1">
        <v>45502</v>
      </c>
      <c r="B646">
        <v>207.21</v>
      </c>
      <c r="C646">
        <v>65.39</v>
      </c>
      <c r="D646">
        <v>111.56</v>
      </c>
      <c r="E646" s="2">
        <v>5463.54</v>
      </c>
      <c r="F646" s="3">
        <f t="shared" si="80"/>
        <v>-6.5682232237032068E-3</v>
      </c>
      <c r="G646" s="3">
        <f t="shared" si="81"/>
        <v>-3.3531473860691774E-3</v>
      </c>
      <c r="H646" s="3">
        <f t="shared" si="82"/>
        <v>-1.3005396797310387E-2</v>
      </c>
      <c r="I646" s="3">
        <f t="shared" si="83"/>
        <v>8.1332087706753597E-4</v>
      </c>
      <c r="J646" s="12">
        <v>0.57999999999999996</v>
      </c>
      <c r="K646" s="13">
        <v>-0.38</v>
      </c>
      <c r="L646" s="13">
        <v>-0.25</v>
      </c>
      <c r="M646" s="20">
        <v>1.2E-2</v>
      </c>
      <c r="N646" s="20">
        <f t="shared" si="84"/>
        <v>-1.8568223223703207E-2</v>
      </c>
      <c r="O646" s="20">
        <f t="shared" si="85"/>
        <v>-2.5005396797310387E-2</v>
      </c>
      <c r="P646" s="20">
        <f t="shared" si="86"/>
        <v>-1.5353147386069178E-2</v>
      </c>
      <c r="Q646" s="20">
        <f t="shared" si="87"/>
        <v>-1.1186679122932464E-2</v>
      </c>
    </row>
    <row r="647" spans="1:17" x14ac:dyDescent="0.2">
      <c r="A647" s="1">
        <v>45503</v>
      </c>
      <c r="B647">
        <v>211.48</v>
      </c>
      <c r="C647">
        <v>66.22</v>
      </c>
      <c r="D647">
        <v>103.7</v>
      </c>
      <c r="E647" s="2">
        <v>5436.44</v>
      </c>
      <c r="F647" s="3">
        <f t="shared" si="80"/>
        <v>2.060711355629552E-2</v>
      </c>
      <c r="G647" s="3">
        <f t="shared" si="81"/>
        <v>1.2693072335219435E-2</v>
      </c>
      <c r="H647" s="3">
        <f t="shared" si="82"/>
        <v>-7.0455360344209406E-2</v>
      </c>
      <c r="I647" s="3">
        <f t="shared" si="83"/>
        <v>-4.9601540393225951E-3</v>
      </c>
      <c r="J647" s="12">
        <v>0.24</v>
      </c>
      <c r="K647" s="12">
        <v>0.04</v>
      </c>
      <c r="L647" s="12">
        <v>0.08</v>
      </c>
      <c r="M647" s="20">
        <v>1.2E-2</v>
      </c>
      <c r="N647" s="20">
        <f t="shared" si="84"/>
        <v>8.6071135562955196E-3</v>
      </c>
      <c r="O647" s="20">
        <f t="shared" si="85"/>
        <v>-8.2455360344209402E-2</v>
      </c>
      <c r="P647" s="20">
        <f t="shared" si="86"/>
        <v>6.9307233521943498E-4</v>
      </c>
      <c r="Q647" s="20">
        <f t="shared" si="87"/>
        <v>-1.6960154039322595E-2</v>
      </c>
    </row>
    <row r="648" spans="1:17" x14ac:dyDescent="0.2">
      <c r="A648" s="1">
        <v>45504</v>
      </c>
      <c r="B648">
        <v>209.13</v>
      </c>
      <c r="C648">
        <v>65.3</v>
      </c>
      <c r="D648">
        <v>116.99</v>
      </c>
      <c r="E648" s="2">
        <v>5522.3</v>
      </c>
      <c r="F648" s="3">
        <f t="shared" si="80"/>
        <v>-1.1112161906563278E-2</v>
      </c>
      <c r="G648" s="3">
        <f t="shared" si="81"/>
        <v>-1.3893083660525551E-2</v>
      </c>
      <c r="H648" s="3">
        <f t="shared" si="82"/>
        <v>0.1281581485053036</v>
      </c>
      <c r="I648" s="3">
        <f t="shared" si="83"/>
        <v>1.579342363752767E-2</v>
      </c>
      <c r="J648" s="12">
        <v>0.27</v>
      </c>
      <c r="K648" s="12">
        <v>0.03</v>
      </c>
      <c r="L648" s="12">
        <v>0.09</v>
      </c>
      <c r="M648" s="20">
        <v>1.2E-2</v>
      </c>
      <c r="N648" s="20">
        <f t="shared" si="84"/>
        <v>-2.3112161906563278E-2</v>
      </c>
      <c r="O648" s="20">
        <f t="shared" si="85"/>
        <v>0.11615814850530361</v>
      </c>
      <c r="P648" s="20">
        <f t="shared" si="86"/>
        <v>-2.5893083660525552E-2</v>
      </c>
      <c r="Q648" s="20">
        <f t="shared" si="87"/>
        <v>3.7934236375276702E-3</v>
      </c>
    </row>
    <row r="649" spans="1:17" x14ac:dyDescent="0.2">
      <c r="A649" s="1">
        <v>45505</v>
      </c>
      <c r="B649">
        <v>204.37</v>
      </c>
      <c r="C649">
        <v>66.5</v>
      </c>
      <c r="D649">
        <v>109.18</v>
      </c>
      <c r="E649" s="2">
        <v>5446.68</v>
      </c>
      <c r="F649" s="3">
        <f t="shared" si="80"/>
        <v>-2.2760962081002201E-2</v>
      </c>
      <c r="G649" s="3">
        <f t="shared" si="81"/>
        <v>1.8376722817764257E-2</v>
      </c>
      <c r="H649" s="3">
        <f t="shared" si="82"/>
        <v>-6.6757842550645208E-2</v>
      </c>
      <c r="I649" s="3">
        <f t="shared" si="83"/>
        <v>-1.3693569708273734E-2</v>
      </c>
      <c r="J649" s="15">
        <v>1.1499999999999999</v>
      </c>
      <c r="K649" s="13">
        <v>-0.67</v>
      </c>
      <c r="L649" s="13">
        <v>-0.27</v>
      </c>
      <c r="M649" s="20">
        <v>1.2E-2</v>
      </c>
      <c r="N649" s="20">
        <f t="shared" si="84"/>
        <v>-3.4760962081002197E-2</v>
      </c>
      <c r="O649" s="20">
        <f t="shared" si="85"/>
        <v>-7.8757842550645205E-2</v>
      </c>
      <c r="P649" s="20">
        <f t="shared" si="86"/>
        <v>6.376722817764257E-3</v>
      </c>
      <c r="Q649" s="20">
        <f t="shared" si="87"/>
        <v>-2.5693569708273734E-2</v>
      </c>
    </row>
    <row r="650" spans="1:17" x14ac:dyDescent="0.2">
      <c r="A650" s="1">
        <v>45506</v>
      </c>
      <c r="B650">
        <v>195.7</v>
      </c>
      <c r="C650">
        <v>67.84</v>
      </c>
      <c r="D650">
        <v>107.24</v>
      </c>
      <c r="E650" s="2">
        <v>5346.56</v>
      </c>
      <c r="F650" s="3">
        <f t="shared" si="80"/>
        <v>-4.2423056221559063E-2</v>
      </c>
      <c r="G650" s="3">
        <f t="shared" si="81"/>
        <v>2.0150375939849585E-2</v>
      </c>
      <c r="H650" s="3">
        <f t="shared" si="82"/>
        <v>-1.7768822128595096E-2</v>
      </c>
      <c r="I650" s="3">
        <f t="shared" si="83"/>
        <v>-1.8381839946536194E-2</v>
      </c>
      <c r="J650" s="12">
        <v>0.25</v>
      </c>
      <c r="K650" s="12">
        <v>0.15</v>
      </c>
      <c r="L650" s="12">
        <v>7.0000000000000007E-2</v>
      </c>
      <c r="M650" s="20">
        <v>1.0999999999999999E-2</v>
      </c>
      <c r="N650" s="20">
        <f t="shared" si="84"/>
        <v>-5.3423056221559059E-2</v>
      </c>
      <c r="O650" s="20">
        <f t="shared" si="85"/>
        <v>-2.8768822128595096E-2</v>
      </c>
      <c r="P650" s="20">
        <f t="shared" si="86"/>
        <v>9.1503759398495858E-3</v>
      </c>
      <c r="Q650" s="20">
        <f t="shared" si="87"/>
        <v>-2.9381839946536193E-2</v>
      </c>
    </row>
    <row r="651" spans="1:17" x14ac:dyDescent="0.2">
      <c r="A651" s="1">
        <v>45509</v>
      </c>
      <c r="B651">
        <v>191.54</v>
      </c>
      <c r="C651">
        <v>66.64</v>
      </c>
      <c r="D651">
        <v>100.43</v>
      </c>
      <c r="E651" s="2">
        <v>5186.33</v>
      </c>
      <c r="F651" s="3">
        <f t="shared" si="80"/>
        <v>-2.1257026060296336E-2</v>
      </c>
      <c r="G651" s="3">
        <f t="shared" si="81"/>
        <v>-1.7688679245283057E-2</v>
      </c>
      <c r="H651" s="3">
        <f t="shared" si="82"/>
        <v>-6.3502424468481755E-2</v>
      </c>
      <c r="I651" s="3">
        <f t="shared" si="83"/>
        <v>-2.9968802370122227E-2</v>
      </c>
      <c r="J651" s="12">
        <v>0.41</v>
      </c>
      <c r="K651" s="13">
        <v>-0.03</v>
      </c>
      <c r="L651" s="14">
        <v>-0.1</v>
      </c>
      <c r="M651" s="20">
        <v>1.0999999999999999E-2</v>
      </c>
      <c r="N651" s="20">
        <f t="shared" si="84"/>
        <v>-3.2257026060296332E-2</v>
      </c>
      <c r="O651" s="20">
        <f t="shared" si="85"/>
        <v>-7.4502424468481751E-2</v>
      </c>
      <c r="P651" s="20">
        <f t="shared" si="86"/>
        <v>-2.8688679245283056E-2</v>
      </c>
      <c r="Q651" s="20">
        <f t="shared" si="87"/>
        <v>-4.0968802370122223E-2</v>
      </c>
    </row>
    <row r="652" spans="1:17" x14ac:dyDescent="0.2">
      <c r="A652" s="1">
        <v>45510</v>
      </c>
      <c r="B652">
        <v>196.88</v>
      </c>
      <c r="C652">
        <v>66.59</v>
      </c>
      <c r="D652">
        <v>104.22</v>
      </c>
      <c r="E652" s="2">
        <v>5240.03</v>
      </c>
      <c r="F652" s="3">
        <f t="shared" si="80"/>
        <v>2.7879294142215683E-2</v>
      </c>
      <c r="G652" s="3">
        <f t="shared" si="81"/>
        <v>-7.503001200479531E-4</v>
      </c>
      <c r="H652" s="3">
        <f t="shared" si="82"/>
        <v>3.7737727770586371E-2</v>
      </c>
      <c r="I652" s="3">
        <f t="shared" si="83"/>
        <v>1.0354142524675369E-2</v>
      </c>
      <c r="J652" s="12">
        <v>0.41</v>
      </c>
      <c r="K652" s="12">
        <v>0.01</v>
      </c>
      <c r="L652" s="14">
        <v>-0.1</v>
      </c>
      <c r="M652" s="20">
        <v>1.0999999999999999E-2</v>
      </c>
      <c r="N652" s="20">
        <f t="shared" si="84"/>
        <v>1.6879294142215683E-2</v>
      </c>
      <c r="O652" s="20">
        <f t="shared" si="85"/>
        <v>2.6737727770586372E-2</v>
      </c>
      <c r="P652" s="20">
        <f t="shared" si="86"/>
        <v>-1.1750300120047952E-2</v>
      </c>
      <c r="Q652" s="20">
        <f t="shared" si="87"/>
        <v>-6.4585747532463003E-4</v>
      </c>
    </row>
    <row r="653" spans="1:17" x14ac:dyDescent="0.2">
      <c r="A653" s="1">
        <v>45511</v>
      </c>
      <c r="B653">
        <v>196.94</v>
      </c>
      <c r="C653">
        <v>66.989999999999995</v>
      </c>
      <c r="D653">
        <v>98.89</v>
      </c>
      <c r="E653" s="2">
        <v>5199.5</v>
      </c>
      <c r="F653" s="3">
        <f t="shared" si="80"/>
        <v>3.0475416497366403E-4</v>
      </c>
      <c r="G653" s="3">
        <f t="shared" si="81"/>
        <v>6.0069079441356088E-3</v>
      </c>
      <c r="H653" s="3">
        <f t="shared" si="82"/>
        <v>-5.1141815390519985E-2</v>
      </c>
      <c r="I653" s="3">
        <f t="shared" si="83"/>
        <v>-7.7346885418594358E-3</v>
      </c>
      <c r="J653" s="14">
        <v>-0.4</v>
      </c>
      <c r="K653" s="12">
        <v>0.18</v>
      </c>
      <c r="L653" s="11">
        <v>0.5</v>
      </c>
      <c r="M653" s="20">
        <v>1.0999999999999999E-2</v>
      </c>
      <c r="N653" s="20">
        <f t="shared" si="84"/>
        <v>-1.0695245835026335E-2</v>
      </c>
      <c r="O653" s="20">
        <f t="shared" si="85"/>
        <v>-6.214181539051998E-2</v>
      </c>
      <c r="P653" s="20">
        <f t="shared" si="86"/>
        <v>-4.9930920558643906E-3</v>
      </c>
      <c r="Q653" s="20">
        <f t="shared" si="87"/>
        <v>-1.8734688541859435E-2</v>
      </c>
    </row>
    <row r="654" spans="1:17" x14ac:dyDescent="0.2">
      <c r="A654" s="1">
        <v>45512</v>
      </c>
      <c r="B654">
        <v>200.54</v>
      </c>
      <c r="C654">
        <v>67.25</v>
      </c>
      <c r="D654">
        <v>104.94</v>
      </c>
      <c r="E654" s="2">
        <v>5319.31</v>
      </c>
      <c r="F654" s="3">
        <f t="shared" si="80"/>
        <v>1.8279679090078105E-2</v>
      </c>
      <c r="G654" s="3">
        <f t="shared" si="81"/>
        <v>3.881176294969535E-3</v>
      </c>
      <c r="H654" s="3">
        <f t="shared" si="82"/>
        <v>6.1179087875417038E-2</v>
      </c>
      <c r="I654" s="3">
        <f t="shared" si="83"/>
        <v>2.3042600250024137E-2</v>
      </c>
      <c r="J654" s="12">
        <v>0.65</v>
      </c>
      <c r="K654" s="12">
        <v>0.35</v>
      </c>
      <c r="L654" s="13">
        <v>-0.19</v>
      </c>
      <c r="M654" s="20">
        <v>1.0999999999999999E-2</v>
      </c>
      <c r="N654" s="20">
        <f t="shared" si="84"/>
        <v>7.2796790900781054E-3</v>
      </c>
      <c r="O654" s="20">
        <f t="shared" si="85"/>
        <v>5.0179087875417042E-2</v>
      </c>
      <c r="P654" s="20">
        <f t="shared" si="86"/>
        <v>-7.1188237050304644E-3</v>
      </c>
      <c r="Q654" s="20">
        <f t="shared" si="87"/>
        <v>1.2042600250024137E-2</v>
      </c>
    </row>
    <row r="655" spans="1:17" x14ac:dyDescent="0.2">
      <c r="A655" s="1">
        <v>45513</v>
      </c>
      <c r="B655">
        <v>202.25</v>
      </c>
      <c r="C655">
        <v>67.2</v>
      </c>
      <c r="D655">
        <v>104.72</v>
      </c>
      <c r="E655" s="2">
        <v>5344.16</v>
      </c>
      <c r="F655" s="3">
        <f t="shared" si="80"/>
        <v>8.5269771616636181E-3</v>
      </c>
      <c r="G655" s="3">
        <f t="shared" si="81"/>
        <v>-7.4349442379173514E-4</v>
      </c>
      <c r="H655" s="3">
        <f t="shared" si="82"/>
        <v>-2.0964360587002462E-3</v>
      </c>
      <c r="I655" s="3">
        <f t="shared" si="83"/>
        <v>4.6716585421793244E-3</v>
      </c>
      <c r="J655" s="14">
        <v>-0.3</v>
      </c>
      <c r="K655" s="12">
        <v>0.19</v>
      </c>
      <c r="L655" s="12">
        <v>0.04</v>
      </c>
      <c r="M655" s="20">
        <v>1.0999999999999999E-2</v>
      </c>
      <c r="N655" s="20">
        <f t="shared" si="84"/>
        <v>-2.4730228383363813E-3</v>
      </c>
      <c r="O655" s="20">
        <f t="shared" si="85"/>
        <v>-1.3096436058700246E-2</v>
      </c>
      <c r="P655" s="20">
        <f t="shared" si="86"/>
        <v>-1.1743494423791734E-2</v>
      </c>
      <c r="Q655" s="20">
        <f t="shared" si="87"/>
        <v>-6.3283414578206749E-3</v>
      </c>
    </row>
    <row r="656" spans="1:17" x14ac:dyDescent="0.2">
      <c r="A656" s="1">
        <v>45516</v>
      </c>
      <c r="B656">
        <v>202.63</v>
      </c>
      <c r="C656">
        <v>66.7</v>
      </c>
      <c r="D656">
        <v>108.99</v>
      </c>
      <c r="E656" s="2">
        <v>5344.39</v>
      </c>
      <c r="F656" s="3">
        <f t="shared" si="80"/>
        <v>1.8788627935721891E-3</v>
      </c>
      <c r="G656" s="3">
        <f t="shared" si="81"/>
        <v>-7.440476190476164E-3</v>
      </c>
      <c r="H656" s="3">
        <f t="shared" si="82"/>
        <v>4.0775401069518713E-2</v>
      </c>
      <c r="I656" s="3">
        <f t="shared" si="83"/>
        <v>4.3037633603804082E-5</v>
      </c>
      <c r="J656" s="13">
        <v>-0.37</v>
      </c>
      <c r="K656" s="12">
        <v>0.23</v>
      </c>
      <c r="L656" s="13">
        <v>-0.02</v>
      </c>
      <c r="M656" s="20">
        <v>1.0999999999999999E-2</v>
      </c>
      <c r="N656" s="20">
        <f t="shared" si="84"/>
        <v>-9.1211372064278103E-3</v>
      </c>
      <c r="O656" s="20">
        <f t="shared" si="85"/>
        <v>2.9775401069518714E-2</v>
      </c>
      <c r="P656" s="20">
        <f t="shared" si="86"/>
        <v>-1.8440476190476163E-2</v>
      </c>
      <c r="Q656" s="20">
        <f t="shared" si="87"/>
        <v>-1.0956962366396195E-2</v>
      </c>
    </row>
    <row r="657" spans="1:17" x14ac:dyDescent="0.2">
      <c r="A657" s="1">
        <v>45517</v>
      </c>
      <c r="B657">
        <v>204.35</v>
      </c>
      <c r="C657">
        <v>66.989999999999995</v>
      </c>
      <c r="D657">
        <v>116.11</v>
      </c>
      <c r="E657" s="2">
        <v>5434.43</v>
      </c>
      <c r="F657" s="3">
        <f t="shared" si="80"/>
        <v>8.488377831515459E-3</v>
      </c>
      <c r="G657" s="3">
        <f t="shared" si="81"/>
        <v>4.3478260869564966E-3</v>
      </c>
      <c r="H657" s="3">
        <f t="shared" si="82"/>
        <v>6.5327094228828431E-2</v>
      </c>
      <c r="I657" s="3">
        <f t="shared" si="83"/>
        <v>1.6847572875482442E-2</v>
      </c>
      <c r="J657" s="12">
        <v>0.63</v>
      </c>
      <c r="K657" s="13">
        <v>-0.18</v>
      </c>
      <c r="L657" s="12">
        <v>0.21</v>
      </c>
      <c r="M657" s="20">
        <v>1.0999999999999999E-2</v>
      </c>
      <c r="N657" s="20">
        <f t="shared" si="84"/>
        <v>-2.5116221684845404E-3</v>
      </c>
      <c r="O657" s="20">
        <f t="shared" si="85"/>
        <v>5.4327094228828435E-2</v>
      </c>
      <c r="P657" s="20">
        <f t="shared" si="86"/>
        <v>-6.6521739130435027E-3</v>
      </c>
      <c r="Q657" s="20">
        <f t="shared" si="87"/>
        <v>5.8475728754824423E-3</v>
      </c>
    </row>
    <row r="658" spans="1:17" x14ac:dyDescent="0.2">
      <c r="A658" s="1">
        <v>45518</v>
      </c>
      <c r="B658">
        <v>206.61</v>
      </c>
      <c r="C658">
        <v>67.11</v>
      </c>
      <c r="D658">
        <v>118.05</v>
      </c>
      <c r="E658" s="2">
        <v>5455.21</v>
      </c>
      <c r="F658" s="3">
        <f t="shared" si="80"/>
        <v>1.1059456814289215E-2</v>
      </c>
      <c r="G658" s="3">
        <f t="shared" si="81"/>
        <v>1.7913121361397E-3</v>
      </c>
      <c r="H658" s="3">
        <f t="shared" si="82"/>
        <v>1.6708293859271306E-2</v>
      </c>
      <c r="I658" s="3">
        <f t="shared" si="83"/>
        <v>3.8237680860733203E-3</v>
      </c>
      <c r="J658" s="12">
        <v>0.34</v>
      </c>
      <c r="K658" s="13">
        <v>-0.05</v>
      </c>
      <c r="L658" s="12">
        <v>0.18</v>
      </c>
      <c r="M658" s="20">
        <v>1.0999999999999999E-2</v>
      </c>
      <c r="N658" s="20">
        <f t="shared" si="84"/>
        <v>5.9456814289215315E-5</v>
      </c>
      <c r="O658" s="20">
        <f t="shared" si="85"/>
        <v>5.7082938592713066E-3</v>
      </c>
      <c r="P658" s="20">
        <f t="shared" si="86"/>
        <v>-9.2086878638602994E-3</v>
      </c>
      <c r="Q658" s="20">
        <f t="shared" si="87"/>
        <v>-7.1762319139266791E-3</v>
      </c>
    </row>
    <row r="659" spans="1:17" x14ac:dyDescent="0.2">
      <c r="A659" s="1">
        <v>45519</v>
      </c>
      <c r="B659">
        <v>207.9</v>
      </c>
      <c r="C659">
        <v>67.17</v>
      </c>
      <c r="D659">
        <v>122.83</v>
      </c>
      <c r="E659" s="2">
        <v>5543.22</v>
      </c>
      <c r="F659" s="3">
        <f t="shared" si="80"/>
        <v>6.2436474517206797E-3</v>
      </c>
      <c r="G659" s="3">
        <f t="shared" si="81"/>
        <v>8.9405453732682716E-4</v>
      </c>
      <c r="H659" s="3">
        <f t="shared" si="82"/>
        <v>4.0491317238458224E-2</v>
      </c>
      <c r="I659" s="3">
        <f t="shared" si="83"/>
        <v>1.6133201104998829E-2</v>
      </c>
      <c r="J659" s="14">
        <v>-0.1</v>
      </c>
      <c r="K659" s="12">
        <v>0.06</v>
      </c>
      <c r="L659" s="13">
        <v>-0.31</v>
      </c>
      <c r="M659" s="20">
        <v>1.0999999999999999E-2</v>
      </c>
      <c r="N659" s="20">
        <f t="shared" si="84"/>
        <v>-4.7563525482793197E-3</v>
      </c>
      <c r="O659" s="20">
        <f t="shared" si="85"/>
        <v>2.9491317238458225E-2</v>
      </c>
      <c r="P659" s="20">
        <f t="shared" si="86"/>
        <v>-1.0105945462673172E-2</v>
      </c>
      <c r="Q659" s="20">
        <f t="shared" si="87"/>
        <v>5.1332011049988295E-3</v>
      </c>
    </row>
    <row r="660" spans="1:17" x14ac:dyDescent="0.2">
      <c r="A660" s="1">
        <v>45520</v>
      </c>
      <c r="B660">
        <v>210.28</v>
      </c>
      <c r="C660">
        <v>67.69</v>
      </c>
      <c r="D660">
        <v>124.55</v>
      </c>
      <c r="E660" s="2">
        <v>5554.25</v>
      </c>
      <c r="F660" s="3">
        <f t="shared" si="80"/>
        <v>1.1447811447811373E-2</v>
      </c>
      <c r="G660" s="3">
        <f t="shared" si="81"/>
        <v>7.7415512877772041E-3</v>
      </c>
      <c r="H660" s="3">
        <f t="shared" si="82"/>
        <v>1.4003093706749237E-2</v>
      </c>
      <c r="I660" s="3">
        <f t="shared" si="83"/>
        <v>1.9898181923141411E-3</v>
      </c>
      <c r="J660" s="12">
        <v>0.13</v>
      </c>
      <c r="K660" s="12">
        <v>0.15</v>
      </c>
      <c r="L660" s="12">
        <v>0.42</v>
      </c>
      <c r="M660" s="20">
        <v>1.0999999999999999E-2</v>
      </c>
      <c r="N660" s="20">
        <f t="shared" si="84"/>
        <v>4.4781144781137414E-4</v>
      </c>
      <c r="O660" s="20">
        <f t="shared" si="85"/>
        <v>3.0030937067492373E-3</v>
      </c>
      <c r="P660" s="20">
        <f t="shared" si="86"/>
        <v>-3.2584487122227952E-3</v>
      </c>
      <c r="Q660" s="20">
        <f t="shared" si="87"/>
        <v>-9.0101818076858582E-3</v>
      </c>
    </row>
    <row r="661" spans="1:17" x14ac:dyDescent="0.2">
      <c r="A661" s="1">
        <v>45523</v>
      </c>
      <c r="B661">
        <v>211.73</v>
      </c>
      <c r="C661">
        <v>67.5</v>
      </c>
      <c r="D661">
        <v>129.97</v>
      </c>
      <c r="E661" s="2">
        <v>5608.25</v>
      </c>
      <c r="F661" s="3">
        <f t="shared" si="80"/>
        <v>6.8955678143427512E-3</v>
      </c>
      <c r="G661" s="3">
        <f t="shared" si="81"/>
        <v>-2.8069138720637765E-3</v>
      </c>
      <c r="H661" s="3">
        <f t="shared" si="82"/>
        <v>4.3516659975913363E-2</v>
      </c>
      <c r="I661" s="3">
        <f t="shared" si="83"/>
        <v>9.7222847369131671E-3</v>
      </c>
      <c r="J661" s="12">
        <v>0.57999999999999996</v>
      </c>
      <c r="K661" s="13">
        <v>-0.28000000000000003</v>
      </c>
      <c r="L661" s="12">
        <v>0.71</v>
      </c>
      <c r="M661" s="20">
        <v>1.0999999999999999E-2</v>
      </c>
      <c r="N661" s="20">
        <f t="shared" si="84"/>
        <v>-4.1044321856572481E-3</v>
      </c>
      <c r="O661" s="20">
        <f t="shared" si="85"/>
        <v>3.2516659975913367E-2</v>
      </c>
      <c r="P661" s="20">
        <f t="shared" si="86"/>
        <v>-1.3806913872063776E-2</v>
      </c>
      <c r="Q661" s="20">
        <f t="shared" si="87"/>
        <v>-1.2777152630868323E-3</v>
      </c>
    </row>
    <row r="662" spans="1:17" x14ac:dyDescent="0.2">
      <c r="A662" s="1">
        <v>45524</v>
      </c>
      <c r="B662">
        <v>210.82</v>
      </c>
      <c r="C662">
        <v>67.89</v>
      </c>
      <c r="D662">
        <v>127.22</v>
      </c>
      <c r="E662" s="2">
        <v>5597.12</v>
      </c>
      <c r="F662" s="3">
        <f t="shared" si="80"/>
        <v>-4.2979266046380138E-3</v>
      </c>
      <c r="G662" s="3">
        <f t="shared" si="81"/>
        <v>5.7777777777778816E-3</v>
      </c>
      <c r="H662" s="3">
        <f t="shared" si="82"/>
        <v>-2.115872893744708E-2</v>
      </c>
      <c r="I662" s="3">
        <f t="shared" si="83"/>
        <v>-1.9845762938528466E-3</v>
      </c>
      <c r="J662" s="12">
        <v>0.54</v>
      </c>
      <c r="K662" s="12">
        <v>0.72</v>
      </c>
      <c r="L662" s="12">
        <v>0.11</v>
      </c>
      <c r="M662" s="20">
        <v>1.0999999999999999E-2</v>
      </c>
      <c r="N662" s="20">
        <f t="shared" si="84"/>
        <v>-1.5297926604638013E-2</v>
      </c>
      <c r="O662" s="20">
        <f t="shared" si="85"/>
        <v>-3.2158728937447076E-2</v>
      </c>
      <c r="P662" s="20">
        <f t="shared" si="86"/>
        <v>-5.2222222222221178E-3</v>
      </c>
      <c r="Q662" s="20">
        <f t="shared" si="87"/>
        <v>-1.2984576293852846E-2</v>
      </c>
    </row>
    <row r="663" spans="1:17" x14ac:dyDescent="0.2">
      <c r="A663" s="1">
        <v>45525</v>
      </c>
      <c r="B663">
        <v>210.9</v>
      </c>
      <c r="C663">
        <v>68.069999999999993</v>
      </c>
      <c r="D663">
        <v>128.47</v>
      </c>
      <c r="E663" s="2">
        <v>5620.85</v>
      </c>
      <c r="F663" s="3">
        <f t="shared" si="80"/>
        <v>3.7947063845944484E-4</v>
      </c>
      <c r="G663" s="3">
        <f t="shared" si="81"/>
        <v>2.6513477684488862E-3</v>
      </c>
      <c r="H663" s="3">
        <f t="shared" si="82"/>
        <v>9.8254991353561305E-3</v>
      </c>
      <c r="I663" s="3">
        <f t="shared" si="83"/>
        <v>4.2396804070665706E-3</v>
      </c>
      <c r="J663" s="13">
        <v>-0.68</v>
      </c>
      <c r="K663" s="12">
        <v>0.64</v>
      </c>
      <c r="L663" s="13">
        <v>-0.71</v>
      </c>
      <c r="M663" s="20">
        <v>1.0999999999999999E-2</v>
      </c>
      <c r="N663" s="20">
        <f t="shared" si="84"/>
        <v>-1.0620529361540555E-2</v>
      </c>
      <c r="O663" s="20">
        <f t="shared" si="85"/>
        <v>-1.1745008646438689E-3</v>
      </c>
      <c r="P663" s="20">
        <f t="shared" si="86"/>
        <v>-8.3486522315511132E-3</v>
      </c>
      <c r="Q663" s="20">
        <f t="shared" si="87"/>
        <v>-6.7603195929334288E-3</v>
      </c>
    </row>
    <row r="664" spans="1:17" x14ac:dyDescent="0.2">
      <c r="A664" s="1">
        <v>45526</v>
      </c>
      <c r="B664">
        <v>212.89</v>
      </c>
      <c r="C664">
        <v>67.84</v>
      </c>
      <c r="D664">
        <v>123.71</v>
      </c>
      <c r="E664" s="2">
        <v>5570.64</v>
      </c>
      <c r="F664" s="3">
        <f t="shared" si="80"/>
        <v>9.4357515410146142E-3</v>
      </c>
      <c r="G664" s="3">
        <f t="shared" si="81"/>
        <v>-3.3788746878211651E-3</v>
      </c>
      <c r="H664" s="3">
        <f t="shared" si="82"/>
        <v>-3.7051451700786164E-2</v>
      </c>
      <c r="I664" s="3">
        <f t="shared" si="83"/>
        <v>-8.9328126528905871E-3</v>
      </c>
      <c r="J664" s="13">
        <v>-7.0000000000000007E-2</v>
      </c>
      <c r="K664" s="12">
        <v>0.16</v>
      </c>
      <c r="L664" s="12">
        <v>0.45</v>
      </c>
      <c r="M664" s="20">
        <v>1.0999999999999999E-2</v>
      </c>
      <c r="N664" s="20">
        <f t="shared" si="84"/>
        <v>-1.5642484589853851E-3</v>
      </c>
      <c r="O664" s="20">
        <f t="shared" si="85"/>
        <v>-4.805145170078616E-2</v>
      </c>
      <c r="P664" s="20">
        <f t="shared" si="86"/>
        <v>-1.4378874687821164E-2</v>
      </c>
      <c r="Q664" s="20">
        <f t="shared" si="87"/>
        <v>-1.9932812652890586E-2</v>
      </c>
    </row>
    <row r="665" spans="1:17" x14ac:dyDescent="0.2">
      <c r="A665" s="1">
        <v>45527</v>
      </c>
      <c r="B665">
        <v>214.54</v>
      </c>
      <c r="C665">
        <v>68.290000000000006</v>
      </c>
      <c r="D665">
        <v>129.34</v>
      </c>
      <c r="E665" s="2">
        <v>5634.61</v>
      </c>
      <c r="F665" s="3">
        <f t="shared" si="80"/>
        <v>7.7504814693034607E-3</v>
      </c>
      <c r="G665" s="3">
        <f t="shared" si="81"/>
        <v>6.633254716981174E-3</v>
      </c>
      <c r="H665" s="3">
        <f t="shared" si="82"/>
        <v>4.5509659687980042E-2</v>
      </c>
      <c r="I665" s="3">
        <f t="shared" si="83"/>
        <v>1.1483420217425433E-2</v>
      </c>
      <c r="J665" s="12">
        <v>0.15</v>
      </c>
      <c r="K665" s="12">
        <v>0.53</v>
      </c>
      <c r="L665" s="13">
        <v>-0.11</v>
      </c>
      <c r="M665" s="20">
        <v>1.0999999999999999E-2</v>
      </c>
      <c r="N665" s="20">
        <f t="shared" si="84"/>
        <v>-3.2495185306965386E-3</v>
      </c>
      <c r="O665" s="20">
        <f t="shared" si="85"/>
        <v>3.4509659687980046E-2</v>
      </c>
      <c r="P665" s="20">
        <f t="shared" si="86"/>
        <v>-4.3667452830188254E-3</v>
      </c>
      <c r="Q665" s="20">
        <f t="shared" si="87"/>
        <v>4.8342021742543359E-4</v>
      </c>
    </row>
    <row r="666" spans="1:17" x14ac:dyDescent="0.2">
      <c r="A666" s="1">
        <v>45530</v>
      </c>
      <c r="B666">
        <v>215.39</v>
      </c>
      <c r="C666">
        <v>69.319999999999993</v>
      </c>
      <c r="D666">
        <v>126.43</v>
      </c>
      <c r="E666" s="2">
        <v>5616.84</v>
      </c>
      <c r="F666" s="3">
        <f t="shared" si="80"/>
        <v>3.961965134706702E-3</v>
      </c>
      <c r="G666" s="3">
        <f t="shared" si="81"/>
        <v>1.508273539317595E-2</v>
      </c>
      <c r="H666" s="3">
        <f t="shared" si="82"/>
        <v>-2.2498840265965603E-2</v>
      </c>
      <c r="I666" s="3">
        <f t="shared" si="83"/>
        <v>-3.1537231503155905E-3</v>
      </c>
      <c r="J666" s="12">
        <v>0.67</v>
      </c>
      <c r="K666" s="13">
        <v>-0.46</v>
      </c>
      <c r="L666" s="12">
        <v>0.18</v>
      </c>
      <c r="M666" s="20">
        <v>1.0999999999999999E-2</v>
      </c>
      <c r="N666" s="20">
        <f t="shared" si="84"/>
        <v>-7.0380348652932974E-3</v>
      </c>
      <c r="O666" s="20">
        <f t="shared" si="85"/>
        <v>-3.3498840265965599E-2</v>
      </c>
      <c r="P666" s="20">
        <f t="shared" si="86"/>
        <v>4.0827353931759507E-3</v>
      </c>
      <c r="Q666" s="20">
        <f t="shared" si="87"/>
        <v>-1.415372315031559E-2</v>
      </c>
    </row>
    <row r="667" spans="1:17" x14ac:dyDescent="0.2">
      <c r="A667" s="1">
        <v>45531</v>
      </c>
      <c r="B667">
        <v>216.38</v>
      </c>
      <c r="C667">
        <v>69.959999999999994</v>
      </c>
      <c r="D667">
        <v>128.27000000000001</v>
      </c>
      <c r="E667" s="2">
        <v>5625.8</v>
      </c>
      <c r="F667" s="3">
        <f t="shared" si="80"/>
        <v>4.5963136635869262E-3</v>
      </c>
      <c r="G667" s="3">
        <f t="shared" si="81"/>
        <v>9.2325447201384581E-3</v>
      </c>
      <c r="H667" s="3">
        <f t="shared" si="82"/>
        <v>1.4553507869967675E-2</v>
      </c>
      <c r="I667" s="3">
        <f t="shared" si="83"/>
        <v>1.5952029967027936E-3</v>
      </c>
      <c r="J667" s="13">
        <v>-0.24</v>
      </c>
      <c r="K667" s="11">
        <v>0.2</v>
      </c>
      <c r="L667" s="12">
        <v>0.69</v>
      </c>
      <c r="M667" s="20">
        <v>1.0999999999999999E-2</v>
      </c>
      <c r="N667" s="20">
        <f t="shared" si="84"/>
        <v>-6.4036863364130732E-3</v>
      </c>
      <c r="O667" s="20">
        <f t="shared" si="85"/>
        <v>3.5535078699676752E-3</v>
      </c>
      <c r="P667" s="20">
        <f t="shared" si="86"/>
        <v>-1.7674552798615413E-3</v>
      </c>
      <c r="Q667" s="20">
        <f t="shared" si="87"/>
        <v>-9.4047970032972057E-3</v>
      </c>
    </row>
    <row r="668" spans="1:17" x14ac:dyDescent="0.2">
      <c r="A668" s="1">
        <v>45532</v>
      </c>
      <c r="B668">
        <v>217.47</v>
      </c>
      <c r="C668">
        <v>70.209999999999994</v>
      </c>
      <c r="D668">
        <v>125.58</v>
      </c>
      <c r="E668" s="2">
        <v>5592.18</v>
      </c>
      <c r="F668" s="3">
        <f t="shared" si="80"/>
        <v>5.0374341436361103E-3</v>
      </c>
      <c r="G668" s="3">
        <f t="shared" si="81"/>
        <v>3.5734705546026646E-3</v>
      </c>
      <c r="H668" s="3">
        <f t="shared" si="82"/>
        <v>-2.0971388477430519E-2</v>
      </c>
      <c r="I668" s="3">
        <f t="shared" si="83"/>
        <v>-5.9760389633474187E-3</v>
      </c>
      <c r="J668" s="12">
        <v>0.63</v>
      </c>
      <c r="K668" s="13">
        <v>-0.42</v>
      </c>
      <c r="L668" s="13">
        <v>-0.09</v>
      </c>
      <c r="M668" s="20">
        <v>1.0999999999999999E-2</v>
      </c>
      <c r="N668" s="20">
        <f t="shared" si="84"/>
        <v>-5.9625658563638891E-3</v>
      </c>
      <c r="O668" s="20">
        <f t="shared" si="85"/>
        <v>-3.1971388477430515E-2</v>
      </c>
      <c r="P668" s="20">
        <f t="shared" si="86"/>
        <v>-7.4265294453973348E-3</v>
      </c>
      <c r="Q668" s="20">
        <f t="shared" si="87"/>
        <v>-1.6976038963347418E-2</v>
      </c>
    </row>
    <row r="669" spans="1:17" x14ac:dyDescent="0.2">
      <c r="A669" s="1">
        <v>45533</v>
      </c>
      <c r="B669">
        <v>218.38</v>
      </c>
      <c r="C669">
        <v>70.5</v>
      </c>
      <c r="D669">
        <v>117.56</v>
      </c>
      <c r="E669" s="2">
        <v>5591.96</v>
      </c>
      <c r="F669" s="3">
        <f t="shared" si="80"/>
        <v>4.1844852163517299E-3</v>
      </c>
      <c r="G669" s="3">
        <f t="shared" si="81"/>
        <v>4.1304657456204819E-3</v>
      </c>
      <c r="H669" s="3">
        <f t="shared" si="82"/>
        <v>-6.386367255932468E-2</v>
      </c>
      <c r="I669" s="3">
        <f t="shared" si="83"/>
        <v>-3.9340650694441592E-5</v>
      </c>
      <c r="J669" s="13">
        <v>-7.0000000000000007E-2</v>
      </c>
      <c r="K669" s="12">
        <v>0.24</v>
      </c>
      <c r="L669" s="12">
        <v>0.11</v>
      </c>
      <c r="M669" s="20">
        <v>1.0999999999999999E-2</v>
      </c>
      <c r="N669" s="20">
        <f t="shared" si="84"/>
        <v>-6.8155147836482695E-3</v>
      </c>
      <c r="O669" s="20">
        <f t="shared" si="85"/>
        <v>-7.4863672559324676E-2</v>
      </c>
      <c r="P669" s="20">
        <f t="shared" si="86"/>
        <v>-6.8695342543795175E-3</v>
      </c>
      <c r="Q669" s="20">
        <f t="shared" si="87"/>
        <v>-1.1039340650694441E-2</v>
      </c>
    </row>
    <row r="670" spans="1:17" x14ac:dyDescent="0.2">
      <c r="A670" s="1">
        <v>45534</v>
      </c>
      <c r="B670">
        <v>220.92</v>
      </c>
      <c r="C670">
        <v>70.91</v>
      </c>
      <c r="D670">
        <v>119.34</v>
      </c>
      <c r="E670" s="2">
        <v>5648.4</v>
      </c>
      <c r="F670" s="3">
        <f t="shared" si="80"/>
        <v>1.163110174924431E-2</v>
      </c>
      <c r="G670" s="3">
        <f t="shared" si="81"/>
        <v>5.8156028368794299E-3</v>
      </c>
      <c r="H670" s="3">
        <f t="shared" si="82"/>
        <v>1.5141204491323501E-2</v>
      </c>
      <c r="I670" s="3">
        <f t="shared" si="83"/>
        <v>1.0093062182132906E-2</v>
      </c>
      <c r="J670" s="13">
        <v>-0.15</v>
      </c>
      <c r="K670" s="12">
        <v>0.22</v>
      </c>
      <c r="L670" s="13">
        <v>-0.55000000000000004</v>
      </c>
      <c r="M670" s="20">
        <v>1.0999999999999999E-2</v>
      </c>
      <c r="N670" s="20">
        <f t="shared" si="84"/>
        <v>6.3110174924431092E-4</v>
      </c>
      <c r="O670" s="20">
        <f t="shared" si="85"/>
        <v>4.1412044913235017E-3</v>
      </c>
      <c r="P670" s="20">
        <f t="shared" si="86"/>
        <v>-5.1843971631205694E-3</v>
      </c>
      <c r="Q670" s="20">
        <f t="shared" si="87"/>
        <v>-9.0693781786709352E-4</v>
      </c>
    </row>
    <row r="671" spans="1:17" x14ac:dyDescent="0.2">
      <c r="A671" s="1">
        <v>45538</v>
      </c>
      <c r="B671">
        <v>216.5</v>
      </c>
      <c r="C671">
        <v>71.44</v>
      </c>
      <c r="D671">
        <v>107.97</v>
      </c>
      <c r="E671" s="2">
        <v>5528.93</v>
      </c>
      <c r="F671" s="3">
        <f t="shared" si="80"/>
        <v>-2.0007242440702511E-2</v>
      </c>
      <c r="G671" s="3">
        <f t="shared" si="81"/>
        <v>7.4742631504725043E-3</v>
      </c>
      <c r="H671" s="3">
        <f t="shared" si="82"/>
        <v>-9.5274007038712916E-2</v>
      </c>
      <c r="I671" s="3">
        <f t="shared" si="83"/>
        <v>-2.1151122441753323E-2</v>
      </c>
      <c r="J671" s="17">
        <v>-1.22</v>
      </c>
      <c r="K671" s="13">
        <v>-0.15</v>
      </c>
      <c r="L671" s="13">
        <v>-0.02</v>
      </c>
      <c r="M671" s="20">
        <v>1.0999999999999999E-2</v>
      </c>
      <c r="N671" s="20">
        <f t="shared" si="84"/>
        <v>-3.100724244070251E-2</v>
      </c>
      <c r="O671" s="20">
        <f t="shared" si="85"/>
        <v>-0.10627400703871291</v>
      </c>
      <c r="P671" s="20">
        <f t="shared" si="86"/>
        <v>-3.525736849527495E-3</v>
      </c>
      <c r="Q671" s="20">
        <f t="shared" si="87"/>
        <v>-3.2151122441753319E-2</v>
      </c>
    </row>
    <row r="672" spans="1:17" x14ac:dyDescent="0.2">
      <c r="A672" s="1">
        <v>45539</v>
      </c>
      <c r="B672">
        <v>215.55</v>
      </c>
      <c r="C672">
        <v>71</v>
      </c>
      <c r="D672">
        <v>106.18</v>
      </c>
      <c r="E672" s="2">
        <v>5520.07</v>
      </c>
      <c r="F672" s="3">
        <f t="shared" si="80"/>
        <v>-4.387990762124705E-3</v>
      </c>
      <c r="G672" s="3">
        <f t="shared" si="81"/>
        <v>-6.1590145576707611E-3</v>
      </c>
      <c r="H672" s="3">
        <f t="shared" si="82"/>
        <v>-1.6578679262758134E-2</v>
      </c>
      <c r="I672" s="3">
        <f t="shared" si="83"/>
        <v>-1.6024800458679378E-3</v>
      </c>
      <c r="J672" s="12">
        <v>0.01</v>
      </c>
      <c r="K672" s="13">
        <v>-0.11</v>
      </c>
      <c r="L672" s="13">
        <v>-0.46</v>
      </c>
      <c r="M672" s="20">
        <v>1.0999999999999999E-2</v>
      </c>
      <c r="N672" s="20">
        <f t="shared" si="84"/>
        <v>-1.5387990762124704E-2</v>
      </c>
      <c r="O672" s="20">
        <f t="shared" si="85"/>
        <v>-2.7578679262758133E-2</v>
      </c>
      <c r="P672" s="20">
        <f t="shared" si="86"/>
        <v>-1.715901455767076E-2</v>
      </c>
      <c r="Q672" s="20">
        <f t="shared" si="87"/>
        <v>-1.2602480045867937E-2</v>
      </c>
    </row>
    <row r="673" spans="1:17" x14ac:dyDescent="0.2">
      <c r="A673" s="1">
        <v>45540</v>
      </c>
      <c r="B673">
        <v>213.88</v>
      </c>
      <c r="C673">
        <v>69.64</v>
      </c>
      <c r="D673">
        <v>107.18</v>
      </c>
      <c r="E673" s="2">
        <v>5503.41</v>
      </c>
      <c r="F673" s="3">
        <f t="shared" si="80"/>
        <v>-7.7476223614011408E-3</v>
      </c>
      <c r="G673" s="3">
        <f t="shared" si="81"/>
        <v>-1.9154929577464785E-2</v>
      </c>
      <c r="H673" s="3">
        <f t="shared" si="82"/>
        <v>9.4179694857787766E-3</v>
      </c>
      <c r="I673" s="3">
        <f t="shared" si="83"/>
        <v>-3.0180776693048417E-3</v>
      </c>
      <c r="J673" s="15">
        <v>1.03</v>
      </c>
      <c r="K673" s="13">
        <v>-0.01</v>
      </c>
      <c r="L673" s="13">
        <v>-0.19</v>
      </c>
      <c r="M673" s="20">
        <v>1.0999999999999999E-2</v>
      </c>
      <c r="N673" s="20">
        <f t="shared" si="84"/>
        <v>-1.874762236140114E-2</v>
      </c>
      <c r="O673" s="20">
        <f t="shared" si="85"/>
        <v>-1.5820305142212228E-3</v>
      </c>
      <c r="P673" s="20">
        <f t="shared" si="86"/>
        <v>-3.0154929577464785E-2</v>
      </c>
      <c r="Q673" s="20">
        <f t="shared" si="87"/>
        <v>-1.4018077669304841E-2</v>
      </c>
    </row>
    <row r="674" spans="1:17" x14ac:dyDescent="0.2">
      <c r="A674" s="1">
        <v>45541</v>
      </c>
      <c r="B674">
        <v>208.79</v>
      </c>
      <c r="C674">
        <v>69.61</v>
      </c>
      <c r="D674">
        <v>102.8</v>
      </c>
      <c r="E674" s="2">
        <v>5408.42</v>
      </c>
      <c r="F674" s="3">
        <f t="shared" si="80"/>
        <v>-2.3798391621470016E-2</v>
      </c>
      <c r="G674" s="3">
        <f t="shared" si="81"/>
        <v>-4.30786904078162E-4</v>
      </c>
      <c r="H674" s="3">
        <f t="shared" si="82"/>
        <v>-4.0865833177831767E-2</v>
      </c>
      <c r="I674" s="3">
        <f t="shared" si="83"/>
        <v>-1.726020776209658E-2</v>
      </c>
      <c r="J674" s="13">
        <v>-0.11</v>
      </c>
      <c r="K674" s="12">
        <v>0.83</v>
      </c>
      <c r="L674" s="13">
        <v>-0.27</v>
      </c>
      <c r="M674" s="20">
        <v>1.6E-2</v>
      </c>
      <c r="N674" s="20">
        <f t="shared" si="84"/>
        <v>-3.9798391621470017E-2</v>
      </c>
      <c r="O674" s="20">
        <f t="shared" si="85"/>
        <v>-5.6865833177831768E-2</v>
      </c>
      <c r="P674" s="20">
        <f t="shared" si="86"/>
        <v>-1.6430786904078162E-2</v>
      </c>
      <c r="Q674" s="20">
        <f t="shared" si="87"/>
        <v>-3.326020776209658E-2</v>
      </c>
    </row>
    <row r="675" spans="1:17" x14ac:dyDescent="0.2">
      <c r="A675" s="1">
        <v>45544</v>
      </c>
      <c r="B675">
        <v>213.07</v>
      </c>
      <c r="C675">
        <v>70.3</v>
      </c>
      <c r="D675">
        <v>106.44</v>
      </c>
      <c r="E675" s="2">
        <v>5471.05</v>
      </c>
      <c r="F675" s="3">
        <f t="shared" si="80"/>
        <v>2.0499066047224401E-2</v>
      </c>
      <c r="G675" s="3">
        <f t="shared" si="81"/>
        <v>9.9123689125124592E-3</v>
      </c>
      <c r="H675" s="3">
        <f t="shared" si="82"/>
        <v>3.5408560311284143E-2</v>
      </c>
      <c r="I675" s="3">
        <f t="shared" si="83"/>
        <v>1.1580091782812829E-2</v>
      </c>
      <c r="J675" s="13">
        <v>-0.44</v>
      </c>
      <c r="K675" s="11">
        <v>0.1</v>
      </c>
      <c r="L675" s="13">
        <v>-0.05</v>
      </c>
      <c r="M675" s="20">
        <v>1.6E-2</v>
      </c>
      <c r="N675" s="20">
        <f t="shared" si="84"/>
        <v>4.499066047224401E-3</v>
      </c>
      <c r="O675" s="20">
        <f t="shared" si="85"/>
        <v>1.9408560311284143E-2</v>
      </c>
      <c r="P675" s="20">
        <f t="shared" si="86"/>
        <v>-6.0876310874875411E-3</v>
      </c>
      <c r="Q675" s="20">
        <f t="shared" si="87"/>
        <v>-4.4199082171871712E-3</v>
      </c>
    </row>
    <row r="676" spans="1:17" x14ac:dyDescent="0.2">
      <c r="A676" s="1">
        <v>45545</v>
      </c>
      <c r="B676">
        <v>202.01</v>
      </c>
      <c r="C676">
        <v>70.010000000000005</v>
      </c>
      <c r="D676">
        <v>108.07</v>
      </c>
      <c r="E676" s="2">
        <v>5495.52</v>
      </c>
      <c r="F676" s="3">
        <f t="shared" si="80"/>
        <v>-5.1907823719904322E-2</v>
      </c>
      <c r="G676" s="3">
        <f t="shared" si="81"/>
        <v>-4.1251778093882585E-3</v>
      </c>
      <c r="H676" s="3">
        <f t="shared" si="82"/>
        <v>1.5313791807591182E-2</v>
      </c>
      <c r="I676" s="3">
        <f t="shared" si="83"/>
        <v>4.4726332239699573E-3</v>
      </c>
      <c r="J676" s="13">
        <v>-0.28000000000000003</v>
      </c>
      <c r="K676" s="12">
        <v>0.56000000000000005</v>
      </c>
      <c r="L676" s="12">
        <v>0.15</v>
      </c>
      <c r="M676" s="20">
        <v>1.6E-2</v>
      </c>
      <c r="N676" s="20">
        <f t="shared" si="84"/>
        <v>-6.7907823719904323E-2</v>
      </c>
      <c r="O676" s="20">
        <f t="shared" si="85"/>
        <v>-6.862081924088187E-4</v>
      </c>
      <c r="P676" s="20">
        <f t="shared" si="86"/>
        <v>-2.0125177809388259E-2</v>
      </c>
      <c r="Q676" s="20">
        <f t="shared" si="87"/>
        <v>-1.1527366776030043E-2</v>
      </c>
    </row>
    <row r="677" spans="1:17" x14ac:dyDescent="0.2">
      <c r="A677" s="1">
        <v>45546</v>
      </c>
      <c r="B677">
        <v>203.66</v>
      </c>
      <c r="C677">
        <v>69.55</v>
      </c>
      <c r="D677">
        <v>116.88</v>
      </c>
      <c r="E677" s="2">
        <v>5554.13</v>
      </c>
      <c r="F677" s="3">
        <f t="shared" si="80"/>
        <v>8.1679124795801528E-3</v>
      </c>
      <c r="G677" s="3">
        <f t="shared" si="81"/>
        <v>-6.5704899300100816E-3</v>
      </c>
      <c r="H677" s="3">
        <f t="shared" si="82"/>
        <v>8.152123623577312E-2</v>
      </c>
      <c r="I677" s="3">
        <f t="shared" si="83"/>
        <v>1.0665050805019227E-2</v>
      </c>
      <c r="J677" s="12">
        <v>0.25</v>
      </c>
      <c r="K677" s="12">
        <v>0.18</v>
      </c>
      <c r="L677" s="11">
        <v>0.3</v>
      </c>
      <c r="M677" s="20">
        <v>1.6E-2</v>
      </c>
      <c r="N677" s="20">
        <f t="shared" si="84"/>
        <v>-7.8320875204198476E-3</v>
      </c>
      <c r="O677" s="20">
        <f t="shared" si="85"/>
        <v>6.552123623577312E-2</v>
      </c>
      <c r="P677" s="20">
        <f t="shared" si="86"/>
        <v>-2.2570489930010082E-2</v>
      </c>
      <c r="Q677" s="20">
        <f t="shared" si="87"/>
        <v>-5.3349491949807731E-3</v>
      </c>
    </row>
    <row r="678" spans="1:17" x14ac:dyDescent="0.2">
      <c r="A678" s="1">
        <v>45547</v>
      </c>
      <c r="B678">
        <v>203.04</v>
      </c>
      <c r="C678">
        <v>69.7</v>
      </c>
      <c r="D678">
        <v>119.12</v>
      </c>
      <c r="E678" s="2">
        <v>5595.76</v>
      </c>
      <c r="F678" s="3">
        <f t="shared" si="80"/>
        <v>-3.0442895021113303E-3</v>
      </c>
      <c r="G678" s="3">
        <f t="shared" si="81"/>
        <v>2.1567217828901697E-3</v>
      </c>
      <c r="H678" s="3">
        <f t="shared" si="82"/>
        <v>1.9164955509924697E-2</v>
      </c>
      <c r="I678" s="3">
        <f t="shared" si="83"/>
        <v>7.4953232999588337E-3</v>
      </c>
      <c r="J678" s="13">
        <v>-0.28999999999999998</v>
      </c>
      <c r="K678" s="12">
        <v>0.46</v>
      </c>
      <c r="L678" s="13">
        <v>-0.06</v>
      </c>
      <c r="M678" s="20">
        <v>1.6E-2</v>
      </c>
      <c r="N678" s="20">
        <f t="shared" si="84"/>
        <v>-1.9044289502111331E-2</v>
      </c>
      <c r="O678" s="20">
        <f t="shared" si="85"/>
        <v>3.1649555099246968E-3</v>
      </c>
      <c r="P678" s="20">
        <f t="shared" si="86"/>
        <v>-1.3843278217109831E-2</v>
      </c>
      <c r="Q678" s="20">
        <f t="shared" si="87"/>
        <v>-8.5046767000411666E-3</v>
      </c>
    </row>
    <row r="679" spans="1:17" x14ac:dyDescent="0.2">
      <c r="A679" s="1">
        <v>45548</v>
      </c>
      <c r="B679">
        <v>200.8</v>
      </c>
      <c r="C679">
        <v>70.349999999999994</v>
      </c>
      <c r="D679">
        <v>119.08</v>
      </c>
      <c r="E679" s="2">
        <v>5626.02</v>
      </c>
      <c r="F679" s="3">
        <f t="shared" si="80"/>
        <v>-1.1032308904649235E-2</v>
      </c>
      <c r="G679" s="3">
        <f t="shared" si="81"/>
        <v>9.3256814921089948E-3</v>
      </c>
      <c r="H679" s="3">
        <f t="shared" si="82"/>
        <v>-3.3579583613163599E-4</v>
      </c>
      <c r="I679" s="3">
        <f t="shared" si="83"/>
        <v>5.4076658041088965E-3</v>
      </c>
      <c r="J679" s="13">
        <v>-0.05</v>
      </c>
      <c r="K679" s="11">
        <v>0</v>
      </c>
      <c r="L679" s="11">
        <v>0.2</v>
      </c>
      <c r="M679" s="20">
        <v>1.6E-2</v>
      </c>
      <c r="N679" s="20">
        <f t="shared" si="84"/>
        <v>-2.7032308904649235E-2</v>
      </c>
      <c r="O679" s="20">
        <f t="shared" si="85"/>
        <v>-1.6335795836131636E-2</v>
      </c>
      <c r="P679" s="20">
        <f t="shared" si="86"/>
        <v>-6.6743185078910056E-3</v>
      </c>
      <c r="Q679" s="20">
        <f t="shared" si="87"/>
        <v>-1.0592334195891104E-2</v>
      </c>
    </row>
    <row r="680" spans="1:17" x14ac:dyDescent="0.2">
      <c r="A680" s="1">
        <v>45551</v>
      </c>
      <c r="B680">
        <v>204.27</v>
      </c>
      <c r="C680">
        <v>71.03</v>
      </c>
      <c r="D680">
        <v>116.76</v>
      </c>
      <c r="E680" s="2">
        <v>5633.09</v>
      </c>
      <c r="F680" s="3">
        <f t="shared" si="80"/>
        <v>1.7280876494023989E-2</v>
      </c>
      <c r="G680" s="3">
        <f t="shared" si="81"/>
        <v>9.6659559346128354E-3</v>
      </c>
      <c r="H680" s="3">
        <f t="shared" si="82"/>
        <v>-1.9482700705408029E-2</v>
      </c>
      <c r="I680" s="3">
        <f t="shared" si="83"/>
        <v>1.2566610143582846E-3</v>
      </c>
      <c r="J680" s="13">
        <v>-0.33</v>
      </c>
      <c r="K680" s="13">
        <v>-0.15</v>
      </c>
      <c r="L680" s="13">
        <v>-0.27</v>
      </c>
      <c r="M680" s="20">
        <v>1.6E-2</v>
      </c>
      <c r="N680" s="20">
        <f t="shared" si="84"/>
        <v>1.2808764940239886E-3</v>
      </c>
      <c r="O680" s="20">
        <f t="shared" si="85"/>
        <v>-3.548270070540803E-2</v>
      </c>
      <c r="P680" s="20">
        <f t="shared" si="86"/>
        <v>-6.3340440653871649E-3</v>
      </c>
      <c r="Q680" s="20">
        <f t="shared" si="87"/>
        <v>-1.4743338985641716E-2</v>
      </c>
    </row>
    <row r="681" spans="1:17" x14ac:dyDescent="0.2">
      <c r="A681" s="1">
        <v>45552</v>
      </c>
      <c r="B681">
        <v>205.64</v>
      </c>
      <c r="C681">
        <v>70.739999999999995</v>
      </c>
      <c r="D681">
        <v>115.57</v>
      </c>
      <c r="E681" s="2">
        <v>5634.58</v>
      </c>
      <c r="F681" s="3">
        <f t="shared" si="80"/>
        <v>6.706809614725584E-3</v>
      </c>
      <c r="G681" s="3">
        <f t="shared" si="81"/>
        <v>-4.0827819231311624E-3</v>
      </c>
      <c r="H681" s="3">
        <f t="shared" si="82"/>
        <v>-1.0191846522781822E-2</v>
      </c>
      <c r="I681" s="3">
        <f t="shared" si="83"/>
        <v>2.6450846693371055E-4</v>
      </c>
      <c r="J681" s="12">
        <v>0.12</v>
      </c>
      <c r="K681" s="12">
        <v>0.09</v>
      </c>
      <c r="L681" s="17">
        <v>-1.05</v>
      </c>
      <c r="M681" s="20">
        <v>1.6E-2</v>
      </c>
      <c r="N681" s="20">
        <f t="shared" si="84"/>
        <v>-9.2931903852744163E-3</v>
      </c>
      <c r="O681" s="20">
        <f t="shared" si="85"/>
        <v>-2.6191846522781823E-2</v>
      </c>
      <c r="P681" s="20">
        <f t="shared" si="86"/>
        <v>-2.0082781923131163E-2</v>
      </c>
      <c r="Q681" s="20">
        <f t="shared" si="87"/>
        <v>-1.573549153306629E-2</v>
      </c>
    </row>
    <row r="682" spans="1:17" x14ac:dyDescent="0.2">
      <c r="A682" s="1">
        <v>45553</v>
      </c>
      <c r="B682">
        <v>203.95</v>
      </c>
      <c r="C682">
        <v>70.69</v>
      </c>
      <c r="D682">
        <v>113.35</v>
      </c>
      <c r="E682" s="2">
        <v>5618.26</v>
      </c>
      <c r="F682" s="3">
        <f t="shared" si="80"/>
        <v>-8.2182454775335811E-3</v>
      </c>
      <c r="G682" s="3">
        <f t="shared" si="81"/>
        <v>-7.0681368391289912E-4</v>
      </c>
      <c r="H682" s="3">
        <f t="shared" si="82"/>
        <v>-1.920913731937357E-2</v>
      </c>
      <c r="I682" s="3">
        <f t="shared" si="83"/>
        <v>-2.8964004415590328E-3</v>
      </c>
      <c r="J682" s="12">
        <v>0.92</v>
      </c>
      <c r="K682" s="13">
        <v>-0.04</v>
      </c>
      <c r="L682" s="13">
        <v>-0.05</v>
      </c>
      <c r="M682" s="20">
        <v>1.6E-2</v>
      </c>
      <c r="N682" s="20">
        <f t="shared" si="84"/>
        <v>-2.4218245477533581E-2</v>
      </c>
      <c r="O682" s="20">
        <f t="shared" si="85"/>
        <v>-3.5209137319373571E-2</v>
      </c>
      <c r="P682" s="20">
        <f t="shared" si="86"/>
        <v>-1.6706813683912899E-2</v>
      </c>
      <c r="Q682" s="20">
        <f t="shared" si="87"/>
        <v>-1.8896400441559033E-2</v>
      </c>
    </row>
    <row r="683" spans="1:17" x14ac:dyDescent="0.2">
      <c r="A683" s="1">
        <v>45554</v>
      </c>
      <c r="B683">
        <v>206.85</v>
      </c>
      <c r="C683">
        <v>69.569999999999993</v>
      </c>
      <c r="D683">
        <v>117.85</v>
      </c>
      <c r="E683" s="2">
        <v>5713.64</v>
      </c>
      <c r="F683" s="3">
        <f t="shared" si="80"/>
        <v>1.4219171365530858E-2</v>
      </c>
      <c r="G683" s="3">
        <f t="shared" si="81"/>
        <v>-1.5843825152072499E-2</v>
      </c>
      <c r="H683" s="3">
        <f t="shared" si="82"/>
        <v>3.9700044111160127E-2</v>
      </c>
      <c r="I683" s="3">
        <f t="shared" si="83"/>
        <v>1.6976786407179478E-2</v>
      </c>
      <c r="J683" s="12">
        <v>0.31</v>
      </c>
      <c r="K683" s="11">
        <v>0.5</v>
      </c>
      <c r="L683" s="13">
        <v>-0.85</v>
      </c>
      <c r="M683" s="20">
        <v>1.6E-2</v>
      </c>
      <c r="N683" s="20">
        <f t="shared" si="84"/>
        <v>-1.7808286344691421E-3</v>
      </c>
      <c r="O683" s="20">
        <f t="shared" si="85"/>
        <v>2.3700044111160126E-2</v>
      </c>
      <c r="P683" s="20">
        <f t="shared" si="86"/>
        <v>-3.18438251520725E-2</v>
      </c>
      <c r="Q683" s="20">
        <f t="shared" si="87"/>
        <v>9.7678640717947796E-4</v>
      </c>
    </row>
    <row r="684" spans="1:17" x14ac:dyDescent="0.2">
      <c r="A684" s="1">
        <v>45555</v>
      </c>
      <c r="B684">
        <v>207.45</v>
      </c>
      <c r="C684">
        <v>70.58</v>
      </c>
      <c r="D684">
        <v>115.98</v>
      </c>
      <c r="E684" s="2">
        <v>5702.55</v>
      </c>
      <c r="F684" s="3">
        <f t="shared" si="80"/>
        <v>2.9006526468455807E-3</v>
      </c>
      <c r="G684" s="3">
        <f t="shared" si="81"/>
        <v>1.451775190455673E-2</v>
      </c>
      <c r="H684" s="3">
        <f t="shared" si="82"/>
        <v>-1.586762834111155E-2</v>
      </c>
      <c r="I684" s="3">
        <f t="shared" si="83"/>
        <v>-1.9409693295342478E-3</v>
      </c>
      <c r="J684" s="12">
        <v>0.55000000000000004</v>
      </c>
      <c r="K684" s="12">
        <v>0.41</v>
      </c>
      <c r="L684" s="13">
        <v>-0.46</v>
      </c>
      <c r="M684" s="20">
        <v>1.6E-2</v>
      </c>
      <c r="N684" s="20">
        <f t="shared" si="84"/>
        <v>-1.309934735315442E-2</v>
      </c>
      <c r="O684" s="20">
        <f t="shared" si="85"/>
        <v>-3.1867628341111551E-2</v>
      </c>
      <c r="P684" s="20">
        <f t="shared" si="86"/>
        <v>-1.4822480954432699E-3</v>
      </c>
      <c r="Q684" s="20">
        <f t="shared" si="87"/>
        <v>-1.7940969329534248E-2</v>
      </c>
    </row>
    <row r="685" spans="1:17" x14ac:dyDescent="0.2">
      <c r="A685" s="1">
        <v>45558</v>
      </c>
      <c r="B685">
        <v>207.79</v>
      </c>
      <c r="C685">
        <v>70.67</v>
      </c>
      <c r="D685">
        <v>116.24</v>
      </c>
      <c r="E685" s="2">
        <v>5718.57</v>
      </c>
      <c r="F685" s="3">
        <f t="shared" si="80"/>
        <v>1.638949144372237E-3</v>
      </c>
      <c r="G685" s="3">
        <f t="shared" si="81"/>
        <v>1.2751487673563489E-3</v>
      </c>
      <c r="H685" s="3">
        <f t="shared" si="82"/>
        <v>2.2417658216933312E-3</v>
      </c>
      <c r="I685" s="3">
        <f t="shared" si="83"/>
        <v>2.8092695373120868E-3</v>
      </c>
      <c r="J685" s="12">
        <v>0.38</v>
      </c>
      <c r="K685" s="13">
        <v>-0.46</v>
      </c>
      <c r="L685" s="12">
        <v>0.16</v>
      </c>
      <c r="M685" s="20">
        <v>1.6E-2</v>
      </c>
      <c r="N685" s="20">
        <f t="shared" si="84"/>
        <v>-1.4361050855627763E-2</v>
      </c>
      <c r="O685" s="20">
        <f t="shared" si="85"/>
        <v>-1.3758234178306669E-2</v>
      </c>
      <c r="P685" s="20">
        <f t="shared" si="86"/>
        <v>-1.4724851232643651E-2</v>
      </c>
      <c r="Q685" s="20">
        <f t="shared" si="87"/>
        <v>-1.3190730462687913E-2</v>
      </c>
    </row>
    <row r="686" spans="1:17" x14ac:dyDescent="0.2">
      <c r="A686" s="1">
        <v>45559</v>
      </c>
      <c r="B686">
        <v>207.94</v>
      </c>
      <c r="C686">
        <v>70.27</v>
      </c>
      <c r="D686">
        <v>120.85</v>
      </c>
      <c r="E686" s="2">
        <v>5732.93</v>
      </c>
      <c r="F686" s="3">
        <f t="shared" si="80"/>
        <v>7.2188267000350415E-4</v>
      </c>
      <c r="G686" s="3">
        <f t="shared" si="81"/>
        <v>-5.6601103721523049E-3</v>
      </c>
      <c r="H686" s="3">
        <f t="shared" si="82"/>
        <v>3.9659325533379253E-2</v>
      </c>
      <c r="I686" s="3">
        <f t="shared" si="83"/>
        <v>2.5111172898120149E-3</v>
      </c>
      <c r="J686" s="11">
        <v>0.3</v>
      </c>
      <c r="K686" s="13">
        <v>-0.16</v>
      </c>
      <c r="L686" s="12">
        <v>0.56000000000000005</v>
      </c>
      <c r="M686" s="20">
        <v>1.6E-2</v>
      </c>
      <c r="N686" s="20">
        <f t="shared" si="84"/>
        <v>-1.5278117329996496E-2</v>
      </c>
      <c r="O686" s="20">
        <f t="shared" si="85"/>
        <v>2.3659325533379252E-2</v>
      </c>
      <c r="P686" s="20">
        <f t="shared" si="86"/>
        <v>-2.1660110372152305E-2</v>
      </c>
      <c r="Q686" s="20">
        <f t="shared" si="87"/>
        <v>-1.3488882710187985E-2</v>
      </c>
    </row>
    <row r="687" spans="1:17" x14ac:dyDescent="0.2">
      <c r="A687" s="1">
        <v>45560</v>
      </c>
      <c r="B687">
        <v>206.56</v>
      </c>
      <c r="C687">
        <v>70.39</v>
      </c>
      <c r="D687">
        <v>123.49</v>
      </c>
      <c r="E687" s="2">
        <v>5722.26</v>
      </c>
      <c r="F687" s="3">
        <f t="shared" si="80"/>
        <v>-6.6365297682023927E-3</v>
      </c>
      <c r="G687" s="3">
        <f t="shared" si="81"/>
        <v>1.7076988757649403E-3</v>
      </c>
      <c r="H687" s="3">
        <f t="shared" si="82"/>
        <v>2.1845262722383074E-2</v>
      </c>
      <c r="I687" s="3">
        <f t="shared" si="83"/>
        <v>-1.8611774432969463E-3</v>
      </c>
      <c r="J687" s="11">
        <v>0.3</v>
      </c>
      <c r="K687" s="11">
        <v>0.8</v>
      </c>
      <c r="L687" s="12">
        <v>0.22</v>
      </c>
      <c r="M687" s="20">
        <v>1.6E-2</v>
      </c>
      <c r="N687" s="20">
        <f t="shared" si="84"/>
        <v>-2.2636529768202393E-2</v>
      </c>
      <c r="O687" s="20">
        <f t="shared" si="85"/>
        <v>5.8452627223830739E-3</v>
      </c>
      <c r="P687" s="20">
        <f t="shared" si="86"/>
        <v>-1.429230112423506E-2</v>
      </c>
      <c r="Q687" s="20">
        <f t="shared" si="87"/>
        <v>-1.7861177443296947E-2</v>
      </c>
    </row>
    <row r="688" spans="1:17" x14ac:dyDescent="0.2">
      <c r="A688" s="1">
        <v>45561</v>
      </c>
      <c r="B688">
        <v>206.16</v>
      </c>
      <c r="C688">
        <v>70.34</v>
      </c>
      <c r="D688">
        <v>124.02</v>
      </c>
      <c r="E688" s="2">
        <v>5745.37</v>
      </c>
      <c r="F688" s="3">
        <f t="shared" si="80"/>
        <v>-1.9364833462433007E-3</v>
      </c>
      <c r="G688" s="3">
        <f t="shared" si="81"/>
        <v>-7.1032817161520434E-4</v>
      </c>
      <c r="H688" s="3">
        <f t="shared" si="82"/>
        <v>4.2918454935623185E-3</v>
      </c>
      <c r="I688" s="3">
        <f t="shared" si="83"/>
        <v>4.0386141140038578E-3</v>
      </c>
      <c r="J688" s="12">
        <v>0.28999999999999998</v>
      </c>
      <c r="K688" s="13">
        <v>-0.28999999999999998</v>
      </c>
      <c r="L688" s="13">
        <v>-0.37</v>
      </c>
      <c r="M688" s="20">
        <v>1.6E-2</v>
      </c>
      <c r="N688" s="20">
        <f t="shared" si="84"/>
        <v>-1.7936483346243301E-2</v>
      </c>
      <c r="O688" s="20">
        <f t="shared" si="85"/>
        <v>-1.1708154506437682E-2</v>
      </c>
      <c r="P688" s="20">
        <f t="shared" si="86"/>
        <v>-1.6710328171615205E-2</v>
      </c>
      <c r="Q688" s="20">
        <f t="shared" si="87"/>
        <v>-1.1961385885996142E-2</v>
      </c>
    </row>
    <row r="689" spans="1:17" x14ac:dyDescent="0.2">
      <c r="A689" s="1">
        <v>45562</v>
      </c>
      <c r="B689">
        <v>206.87</v>
      </c>
      <c r="C689">
        <v>70.73</v>
      </c>
      <c r="D689">
        <v>121.38</v>
      </c>
      <c r="E689" s="2">
        <v>5738.17</v>
      </c>
      <c r="F689" s="3">
        <f t="shared" si="80"/>
        <v>3.443927046953954E-3</v>
      </c>
      <c r="G689" s="3">
        <f t="shared" si="81"/>
        <v>5.5444981518339986E-3</v>
      </c>
      <c r="H689" s="3">
        <f t="shared" si="82"/>
        <v>-2.1286889211417526E-2</v>
      </c>
      <c r="I689" s="3">
        <f t="shared" si="83"/>
        <v>-1.2531829977877607E-3</v>
      </c>
      <c r="J689" s="12">
        <v>0.45</v>
      </c>
      <c r="K689" s="13">
        <v>-0.19</v>
      </c>
      <c r="L689" s="13">
        <v>-0.56000000000000005</v>
      </c>
      <c r="M689" s="20">
        <v>1.6E-2</v>
      </c>
      <c r="N689" s="20">
        <f t="shared" si="84"/>
        <v>-1.2556072953046046E-2</v>
      </c>
      <c r="O689" s="20">
        <f t="shared" si="85"/>
        <v>-3.7286889211417526E-2</v>
      </c>
      <c r="P689" s="20">
        <f t="shared" si="86"/>
        <v>-1.0455501848166002E-2</v>
      </c>
      <c r="Q689" s="20">
        <f t="shared" si="87"/>
        <v>-1.7253182997787761E-2</v>
      </c>
    </row>
    <row r="690" spans="1:17" x14ac:dyDescent="0.2">
      <c r="A690" s="1">
        <v>45565</v>
      </c>
      <c r="B690">
        <v>207.22</v>
      </c>
      <c r="C690">
        <v>70.8</v>
      </c>
      <c r="D690">
        <v>121.42</v>
      </c>
      <c r="E690" s="2">
        <v>5762.48</v>
      </c>
      <c r="F690" s="3">
        <f t="shared" si="80"/>
        <v>1.6918837917532237E-3</v>
      </c>
      <c r="G690" s="3">
        <f t="shared" si="81"/>
        <v>9.8967906121871785E-4</v>
      </c>
      <c r="H690" s="3">
        <f t="shared" si="82"/>
        <v>3.2954358213888035E-4</v>
      </c>
      <c r="I690" s="3">
        <f t="shared" si="83"/>
        <v>4.2365423122701085E-3</v>
      </c>
      <c r="J690" s="13">
        <v>-0.44</v>
      </c>
      <c r="K690" s="12">
        <v>0.25</v>
      </c>
      <c r="L690" s="13">
        <v>-0.03</v>
      </c>
      <c r="M690" s="20">
        <v>1.6E-2</v>
      </c>
      <c r="N690" s="20">
        <f t="shared" si="84"/>
        <v>-1.4308116208246777E-2</v>
      </c>
      <c r="O690" s="20">
        <f t="shared" si="85"/>
        <v>-1.567045641786112E-2</v>
      </c>
      <c r="P690" s="20">
        <f t="shared" si="86"/>
        <v>-1.5010320938781282E-2</v>
      </c>
      <c r="Q690" s="20">
        <f t="shared" si="87"/>
        <v>-1.1763457687729892E-2</v>
      </c>
    </row>
    <row r="691" spans="1:17" x14ac:dyDescent="0.2">
      <c r="A691" s="1">
        <v>45566</v>
      </c>
      <c r="B691">
        <v>203.47</v>
      </c>
      <c r="C691">
        <v>70.650000000000006</v>
      </c>
      <c r="D691">
        <v>116.98</v>
      </c>
      <c r="E691" s="2">
        <v>5708.75</v>
      </c>
      <c r="F691" s="3">
        <f t="shared" si="80"/>
        <v>-1.8096708811890738E-2</v>
      </c>
      <c r="G691" s="3">
        <f t="shared" si="81"/>
        <v>-2.1186440677964935E-3</v>
      </c>
      <c r="H691" s="3">
        <f t="shared" si="82"/>
        <v>-3.6567287102619028E-2</v>
      </c>
      <c r="I691" s="3">
        <f t="shared" si="83"/>
        <v>-9.3241104524439677E-3</v>
      </c>
      <c r="J691" s="13">
        <v>-0.12</v>
      </c>
      <c r="K691" s="12">
        <v>0.28000000000000003</v>
      </c>
      <c r="L691" s="14">
        <v>-0.6</v>
      </c>
      <c r="M691" s="20">
        <v>1.6E-2</v>
      </c>
      <c r="N691" s="20">
        <f t="shared" si="84"/>
        <v>-3.4096708811890739E-2</v>
      </c>
      <c r="O691" s="20">
        <f t="shared" si="85"/>
        <v>-5.2567287102619029E-2</v>
      </c>
      <c r="P691" s="20">
        <f t="shared" si="86"/>
        <v>-1.8118644067796494E-2</v>
      </c>
      <c r="Q691" s="20">
        <f t="shared" si="87"/>
        <v>-2.5324110452443968E-2</v>
      </c>
    </row>
    <row r="692" spans="1:17" x14ac:dyDescent="0.2">
      <c r="A692" s="1">
        <v>45567</v>
      </c>
      <c r="B692">
        <v>203.71</v>
      </c>
      <c r="C692">
        <v>69.959999999999994</v>
      </c>
      <c r="D692">
        <v>118.83</v>
      </c>
      <c r="E692" s="2">
        <v>5709.54</v>
      </c>
      <c r="F692" s="3">
        <f t="shared" si="80"/>
        <v>1.179535066594628E-3</v>
      </c>
      <c r="G692" s="3">
        <f t="shared" si="81"/>
        <v>-9.7664543524418335E-3</v>
      </c>
      <c r="H692" s="3">
        <f t="shared" si="82"/>
        <v>1.581466917421781E-2</v>
      </c>
      <c r="I692" s="3">
        <f t="shared" si="83"/>
        <v>1.3838405955768351E-4</v>
      </c>
      <c r="J692" s="12">
        <v>0.66</v>
      </c>
      <c r="K692" s="13">
        <v>-0.09</v>
      </c>
      <c r="L692" s="12">
        <v>0.39</v>
      </c>
      <c r="M692" s="20">
        <v>1.6E-2</v>
      </c>
      <c r="N692" s="20">
        <f t="shared" si="84"/>
        <v>-1.4820464933405372E-2</v>
      </c>
      <c r="O692" s="20">
        <f t="shared" si="85"/>
        <v>-1.8533082578219007E-4</v>
      </c>
      <c r="P692" s="20">
        <f t="shared" si="86"/>
        <v>-2.5766454352441834E-2</v>
      </c>
      <c r="Q692" s="20">
        <f t="shared" si="87"/>
        <v>-1.5861615940442317E-2</v>
      </c>
    </row>
    <row r="693" spans="1:17" x14ac:dyDescent="0.2">
      <c r="A693" s="1">
        <v>45568</v>
      </c>
      <c r="B693">
        <v>201.69</v>
      </c>
      <c r="C693">
        <v>69.48</v>
      </c>
      <c r="D693">
        <v>122.83</v>
      </c>
      <c r="E693" s="2">
        <v>5699.94</v>
      </c>
      <c r="F693" s="3">
        <f t="shared" si="80"/>
        <v>-9.9160571400520592E-3</v>
      </c>
      <c r="G693" s="3">
        <f t="shared" si="81"/>
        <v>-6.8610634648369473E-3</v>
      </c>
      <c r="H693" s="3">
        <f t="shared" si="82"/>
        <v>3.3661533282840939E-2</v>
      </c>
      <c r="I693" s="3">
        <f t="shared" si="83"/>
        <v>-1.681396399709989E-3</v>
      </c>
      <c r="J693" s="12">
        <v>0.22</v>
      </c>
      <c r="K693" s="11">
        <v>0.1</v>
      </c>
      <c r="L693" s="12">
        <v>0.63</v>
      </c>
      <c r="M693" s="20">
        <v>1.6E-2</v>
      </c>
      <c r="N693" s="20">
        <f t="shared" si="84"/>
        <v>-2.591605714005206E-2</v>
      </c>
      <c r="O693" s="20">
        <f t="shared" si="85"/>
        <v>1.7661533282840938E-2</v>
      </c>
      <c r="P693" s="20">
        <f t="shared" si="86"/>
        <v>-2.2861063464836948E-2</v>
      </c>
      <c r="Q693" s="20">
        <f t="shared" si="87"/>
        <v>-1.7681396399709989E-2</v>
      </c>
    </row>
    <row r="694" spans="1:17" x14ac:dyDescent="0.2">
      <c r="A694" s="1">
        <v>45569</v>
      </c>
      <c r="B694">
        <v>208.85</v>
      </c>
      <c r="C694">
        <v>69.13</v>
      </c>
      <c r="D694">
        <v>124.9</v>
      </c>
      <c r="E694" s="2">
        <v>5751.07</v>
      </c>
      <c r="F694" s="3">
        <f t="shared" si="80"/>
        <v>3.5500024790520168E-2</v>
      </c>
      <c r="G694" s="3">
        <f t="shared" si="81"/>
        <v>-5.0374208405297161E-3</v>
      </c>
      <c r="H694" s="3">
        <f t="shared" si="82"/>
        <v>1.6852560449401643E-2</v>
      </c>
      <c r="I694" s="3">
        <f t="shared" si="83"/>
        <v>8.9702698624898325E-3</v>
      </c>
      <c r="J694" s="13">
        <v>-0.26</v>
      </c>
      <c r="K694" s="13">
        <v>-0.06</v>
      </c>
      <c r="L694" s="12">
        <v>0.24</v>
      </c>
      <c r="M694" s="20">
        <v>1.6E-2</v>
      </c>
      <c r="N694" s="20">
        <f t="shared" si="84"/>
        <v>1.9500024790520168E-2</v>
      </c>
      <c r="O694" s="20">
        <f t="shared" si="85"/>
        <v>8.5256044940164311E-4</v>
      </c>
      <c r="P694" s="20">
        <f t="shared" si="86"/>
        <v>-2.1037420840529716E-2</v>
      </c>
      <c r="Q694" s="20">
        <f t="shared" si="87"/>
        <v>-7.0297301375101678E-3</v>
      </c>
    </row>
    <row r="695" spans="1:17" x14ac:dyDescent="0.2">
      <c r="A695" s="1">
        <v>45572</v>
      </c>
      <c r="B695">
        <v>208.56</v>
      </c>
      <c r="C695">
        <v>67.989999999999995</v>
      </c>
      <c r="D695">
        <v>127.7</v>
      </c>
      <c r="E695" s="2">
        <v>5695.94</v>
      </c>
      <c r="F695" s="3">
        <f t="shared" si="80"/>
        <v>-1.3885563801770973E-3</v>
      </c>
      <c r="G695" s="3">
        <f t="shared" si="81"/>
        <v>-1.6490669752639908E-2</v>
      </c>
      <c r="H695" s="3">
        <f t="shared" si="82"/>
        <v>2.2417934347477964E-2</v>
      </c>
      <c r="I695" s="3">
        <f t="shared" si="83"/>
        <v>-9.5860422495291919E-3</v>
      </c>
      <c r="J695" s="17">
        <v>-1.1399999999999999</v>
      </c>
      <c r="K695" s="13">
        <v>-0.39</v>
      </c>
      <c r="L695" s="13">
        <v>-0.06</v>
      </c>
      <c r="M695" s="20">
        <v>1.6E-2</v>
      </c>
      <c r="N695" s="20">
        <f t="shared" si="84"/>
        <v>-1.7388556380177098E-2</v>
      </c>
      <c r="O695" s="20">
        <f t="shared" si="85"/>
        <v>6.4179343474779632E-3</v>
      </c>
      <c r="P695" s="20">
        <f t="shared" si="86"/>
        <v>-3.2490669752639909E-2</v>
      </c>
      <c r="Q695" s="20">
        <f t="shared" si="87"/>
        <v>-2.5586042249529192E-2</v>
      </c>
    </row>
    <row r="696" spans="1:17" x14ac:dyDescent="0.2">
      <c r="A696" s="1">
        <v>45573</v>
      </c>
      <c r="B696">
        <v>208.38</v>
      </c>
      <c r="C696">
        <v>68.16</v>
      </c>
      <c r="D696">
        <v>132.87</v>
      </c>
      <c r="E696" s="2">
        <v>5751.13</v>
      </c>
      <c r="F696" s="3">
        <f t="shared" si="80"/>
        <v>-8.6306098964328282E-4</v>
      </c>
      <c r="G696" s="3">
        <f t="shared" si="81"/>
        <v>2.5003677011325998E-3</v>
      </c>
      <c r="H696" s="3">
        <f t="shared" si="82"/>
        <v>4.0485512920908295E-2</v>
      </c>
      <c r="I696" s="3">
        <f t="shared" si="83"/>
        <v>9.68935768284096E-3</v>
      </c>
      <c r="J696" s="12">
        <v>0.86</v>
      </c>
      <c r="K696" s="12">
        <v>0.16</v>
      </c>
      <c r="L696" s="13">
        <v>-0.06</v>
      </c>
      <c r="M696" s="20">
        <v>1.6E-2</v>
      </c>
      <c r="N696" s="20">
        <f t="shared" si="84"/>
        <v>-1.6863060989643283E-2</v>
      </c>
      <c r="O696" s="20">
        <f t="shared" si="85"/>
        <v>2.4485512920908295E-2</v>
      </c>
      <c r="P696" s="20">
        <f t="shared" si="86"/>
        <v>-1.3499632298867401E-2</v>
      </c>
      <c r="Q696" s="20">
        <f t="shared" si="87"/>
        <v>-6.3106423171590403E-3</v>
      </c>
    </row>
    <row r="697" spans="1:17" x14ac:dyDescent="0.2">
      <c r="A697" s="1">
        <v>45574</v>
      </c>
      <c r="B697">
        <v>211.02</v>
      </c>
      <c r="C697">
        <v>68.540000000000006</v>
      </c>
      <c r="D697">
        <v>132.63</v>
      </c>
      <c r="E697" s="2">
        <v>5792.04</v>
      </c>
      <c r="F697" s="3">
        <f t="shared" si="80"/>
        <v>1.2669162107687981E-2</v>
      </c>
      <c r="G697" s="3">
        <f t="shared" si="81"/>
        <v>5.5751173708922241E-3</v>
      </c>
      <c r="H697" s="3">
        <f t="shared" si="82"/>
        <v>-1.80627681192147E-3</v>
      </c>
      <c r="I697" s="3">
        <f t="shared" si="83"/>
        <v>7.1133846739683815E-3</v>
      </c>
      <c r="J697" s="12">
        <v>0.69</v>
      </c>
      <c r="K697" s="13">
        <v>-7.0000000000000007E-2</v>
      </c>
      <c r="L697" s="11">
        <v>0.6</v>
      </c>
      <c r="M697" s="20">
        <v>1.6E-2</v>
      </c>
      <c r="N697" s="20">
        <f t="shared" si="84"/>
        <v>-3.3308378923120191E-3</v>
      </c>
      <c r="O697" s="20">
        <f t="shared" si="85"/>
        <v>-1.780627681192147E-2</v>
      </c>
      <c r="P697" s="20">
        <f t="shared" si="86"/>
        <v>-1.0424882629107776E-2</v>
      </c>
      <c r="Q697" s="20">
        <f t="shared" si="87"/>
        <v>-8.8866153260316189E-3</v>
      </c>
    </row>
    <row r="698" spans="1:17" x14ac:dyDescent="0.2">
      <c r="A698" s="1">
        <v>45575</v>
      </c>
      <c r="B698">
        <v>210.45</v>
      </c>
      <c r="C698">
        <v>68.23</v>
      </c>
      <c r="D698">
        <v>134.79</v>
      </c>
      <c r="E698" s="2">
        <v>5780.05</v>
      </c>
      <c r="F698" s="3">
        <f t="shared" si="80"/>
        <v>-2.7011657662782129E-3</v>
      </c>
      <c r="G698" s="3">
        <f t="shared" si="81"/>
        <v>-4.5229063320688656E-3</v>
      </c>
      <c r="H698" s="3">
        <f t="shared" si="82"/>
        <v>1.6285908165573293E-2</v>
      </c>
      <c r="I698" s="3">
        <f t="shared" si="83"/>
        <v>-2.0700823889336917E-3</v>
      </c>
      <c r="J698" s="17">
        <v>-1.05</v>
      </c>
      <c r="K698" s="13">
        <v>-0.33</v>
      </c>
      <c r="L698" s="13">
        <v>-0.17</v>
      </c>
      <c r="M698" s="20">
        <v>1.6E-2</v>
      </c>
      <c r="N698" s="20">
        <f t="shared" si="84"/>
        <v>-1.8701165766278213E-2</v>
      </c>
      <c r="O698" s="20">
        <f t="shared" si="85"/>
        <v>2.8590816557329257E-4</v>
      </c>
      <c r="P698" s="20">
        <f t="shared" si="86"/>
        <v>-2.0522906332068866E-2</v>
      </c>
      <c r="Q698" s="20">
        <f t="shared" si="87"/>
        <v>-1.8070082388933692E-2</v>
      </c>
    </row>
    <row r="699" spans="1:17" x14ac:dyDescent="0.2">
      <c r="A699" s="1">
        <v>45576</v>
      </c>
      <c r="B699">
        <v>219.79</v>
      </c>
      <c r="C699">
        <v>68.540000000000006</v>
      </c>
      <c r="D699">
        <v>134.78</v>
      </c>
      <c r="E699" s="2">
        <v>5815.03</v>
      </c>
      <c r="F699" s="3">
        <f t="shared" si="80"/>
        <v>4.4381088144452407E-2</v>
      </c>
      <c r="G699" s="3">
        <f t="shared" si="81"/>
        <v>4.5434559577899325E-3</v>
      </c>
      <c r="H699" s="3">
        <f t="shared" si="82"/>
        <v>-7.4189479931652258E-5</v>
      </c>
      <c r="I699" s="3">
        <f t="shared" si="83"/>
        <v>6.0518507625366702E-3</v>
      </c>
      <c r="J699" s="13">
        <v>-0.49</v>
      </c>
      <c r="K699" s="13">
        <v>-0.31</v>
      </c>
      <c r="L699" s="13">
        <v>-0.56999999999999995</v>
      </c>
      <c r="M699" s="20">
        <v>1.6E-2</v>
      </c>
      <c r="N699" s="20">
        <f t="shared" si="84"/>
        <v>2.8381088144452407E-2</v>
      </c>
      <c r="O699" s="20">
        <f t="shared" si="85"/>
        <v>-1.6074189479931653E-2</v>
      </c>
      <c r="P699" s="20">
        <f t="shared" si="86"/>
        <v>-1.1456544042210068E-2</v>
      </c>
      <c r="Q699" s="20">
        <f t="shared" si="87"/>
        <v>-9.9481492374633301E-3</v>
      </c>
    </row>
    <row r="700" spans="1:17" x14ac:dyDescent="0.2">
      <c r="A700" s="1">
        <v>45579</v>
      </c>
      <c r="B700">
        <v>218.99</v>
      </c>
      <c r="C700">
        <v>69.3</v>
      </c>
      <c r="D700">
        <v>138.05000000000001</v>
      </c>
      <c r="E700" s="2">
        <v>5859.85</v>
      </c>
      <c r="F700" s="3">
        <f t="shared" si="80"/>
        <v>-3.6398380272076869E-3</v>
      </c>
      <c r="G700" s="3">
        <f t="shared" si="81"/>
        <v>1.1088415523781592E-2</v>
      </c>
      <c r="H700" s="3">
        <f t="shared" si="82"/>
        <v>2.4261759905030544E-2</v>
      </c>
      <c r="I700" s="3">
        <f t="shared" si="83"/>
        <v>7.7076128584032677E-3</v>
      </c>
      <c r="J700" s="15">
        <v>1.29</v>
      </c>
      <c r="K700" s="13">
        <v>-0.21</v>
      </c>
      <c r="L700" s="13">
        <v>-0.28000000000000003</v>
      </c>
      <c r="M700" s="20">
        <v>1.7000000000000001E-2</v>
      </c>
      <c r="N700" s="20">
        <f t="shared" si="84"/>
        <v>-2.0639838027207688E-2</v>
      </c>
      <c r="O700" s="20">
        <f t="shared" si="85"/>
        <v>7.2617599050305431E-3</v>
      </c>
      <c r="P700" s="20">
        <f t="shared" si="86"/>
        <v>-5.9115844762184094E-3</v>
      </c>
      <c r="Q700" s="20">
        <f t="shared" si="87"/>
        <v>-9.2923871415967335E-3</v>
      </c>
    </row>
    <row r="701" spans="1:17" x14ac:dyDescent="0.2">
      <c r="A701" s="1">
        <v>45580</v>
      </c>
      <c r="B701">
        <v>219.89</v>
      </c>
      <c r="C701">
        <v>69.3</v>
      </c>
      <c r="D701">
        <v>131.58000000000001</v>
      </c>
      <c r="E701" s="2">
        <v>5815.26</v>
      </c>
      <c r="F701" s="3">
        <f t="shared" si="80"/>
        <v>4.1097767021323062E-3</v>
      </c>
      <c r="G701" s="3">
        <f t="shared" si="81"/>
        <v>0</v>
      </c>
      <c r="H701" s="3">
        <f t="shared" si="82"/>
        <v>-4.6867077145961611E-2</v>
      </c>
      <c r="I701" s="3">
        <f t="shared" si="83"/>
        <v>-7.6094097971791674E-3</v>
      </c>
      <c r="J701" s="14">
        <v>-0.1</v>
      </c>
      <c r="K701" s="13">
        <v>-0.21</v>
      </c>
      <c r="L701" s="12">
        <v>0.31</v>
      </c>
      <c r="M701" s="20">
        <v>1.7000000000000001E-2</v>
      </c>
      <c r="N701" s="20">
        <f t="shared" si="84"/>
        <v>-1.2890223297867695E-2</v>
      </c>
      <c r="O701" s="20">
        <f t="shared" si="85"/>
        <v>-6.3867077145961612E-2</v>
      </c>
      <c r="P701" s="20">
        <f t="shared" si="86"/>
        <v>-1.7000000000000001E-2</v>
      </c>
      <c r="Q701" s="20">
        <f t="shared" si="87"/>
        <v>-2.4609409797179169E-2</v>
      </c>
    </row>
    <row r="702" spans="1:17" x14ac:dyDescent="0.2">
      <c r="A702" s="1">
        <v>45581</v>
      </c>
      <c r="B702">
        <v>221.13</v>
      </c>
      <c r="C702">
        <v>69.53</v>
      </c>
      <c r="D702">
        <v>135.69999999999999</v>
      </c>
      <c r="E702" s="2">
        <v>5842.47</v>
      </c>
      <c r="F702" s="3">
        <f t="shared" si="80"/>
        <v>5.6391832279776288E-3</v>
      </c>
      <c r="G702" s="3">
        <f t="shared" si="81"/>
        <v>3.3189033189033879E-3</v>
      </c>
      <c r="H702" s="3">
        <f t="shared" si="82"/>
        <v>3.1311749506003794E-2</v>
      </c>
      <c r="I702" s="3">
        <f t="shared" si="83"/>
        <v>4.6790685197222182E-3</v>
      </c>
      <c r="J702" s="12">
        <v>0.04</v>
      </c>
      <c r="K702" s="13">
        <v>-0.03</v>
      </c>
      <c r="L702" s="13">
        <v>-0.34</v>
      </c>
      <c r="M702" s="20">
        <v>1.7000000000000001E-2</v>
      </c>
      <c r="N702" s="20">
        <f t="shared" si="84"/>
        <v>-1.1360816772022372E-2</v>
      </c>
      <c r="O702" s="20">
        <f t="shared" si="85"/>
        <v>1.4311749506003793E-2</v>
      </c>
      <c r="P702" s="20">
        <f t="shared" si="86"/>
        <v>-1.3681096681096613E-2</v>
      </c>
      <c r="Q702" s="20">
        <f t="shared" si="87"/>
        <v>-1.2320931480277783E-2</v>
      </c>
    </row>
    <row r="703" spans="1:17" x14ac:dyDescent="0.2">
      <c r="A703" s="1">
        <v>45582</v>
      </c>
      <c r="B703">
        <v>221.9</v>
      </c>
      <c r="C703">
        <v>68.87</v>
      </c>
      <c r="D703">
        <v>136.91</v>
      </c>
      <c r="E703" s="2">
        <v>5841.47</v>
      </c>
      <c r="F703" s="3">
        <f t="shared" si="80"/>
        <v>3.4821145932257824E-3</v>
      </c>
      <c r="G703" s="3">
        <f t="shared" si="81"/>
        <v>-9.4923054796490769E-3</v>
      </c>
      <c r="H703" s="3">
        <f t="shared" si="82"/>
        <v>8.9167280766397905E-3</v>
      </c>
      <c r="I703" s="3">
        <f t="shared" si="83"/>
        <v>-1.7116048520571248E-4</v>
      </c>
      <c r="J703" s="15">
        <v>1.1299999999999999</v>
      </c>
      <c r="K703" s="14">
        <v>-0.3</v>
      </c>
      <c r="L703" s="12">
        <v>0.22</v>
      </c>
      <c r="M703" s="20">
        <v>1.7000000000000001E-2</v>
      </c>
      <c r="N703" s="20">
        <f t="shared" si="84"/>
        <v>-1.3517885406774219E-2</v>
      </c>
      <c r="O703" s="20">
        <f t="shared" si="85"/>
        <v>-8.0832719233602107E-3</v>
      </c>
      <c r="P703" s="20">
        <f t="shared" si="86"/>
        <v>-2.6492305479649078E-2</v>
      </c>
      <c r="Q703" s="20">
        <f t="shared" si="87"/>
        <v>-1.7171160485205714E-2</v>
      </c>
    </row>
    <row r="704" spans="1:17" x14ac:dyDescent="0.2">
      <c r="A704" s="1">
        <v>45583</v>
      </c>
      <c r="B704">
        <v>222.84</v>
      </c>
      <c r="C704">
        <v>69.400000000000006</v>
      </c>
      <c r="D704">
        <v>137.97999999999999</v>
      </c>
      <c r="E704" s="2">
        <v>5864.67</v>
      </c>
      <c r="F704" s="3">
        <f t="shared" si="80"/>
        <v>4.236142406489396E-3</v>
      </c>
      <c r="G704" s="3">
        <f t="shared" si="81"/>
        <v>7.6956584870044864E-3</v>
      </c>
      <c r="H704" s="3">
        <f t="shared" si="82"/>
        <v>7.8153531517053398E-3</v>
      </c>
      <c r="I704" s="3">
        <f t="shared" si="83"/>
        <v>3.9716030382763723E-3</v>
      </c>
      <c r="J704" s="15">
        <v>1.19</v>
      </c>
      <c r="K704" s="12">
        <v>0.02</v>
      </c>
      <c r="L704" s="12">
        <v>0.85</v>
      </c>
      <c r="M704" s="20">
        <v>1.7000000000000001E-2</v>
      </c>
      <c r="N704" s="20">
        <f t="shared" si="84"/>
        <v>-1.2763857593510605E-2</v>
      </c>
      <c r="O704" s="20">
        <f t="shared" si="85"/>
        <v>-9.1846468482946614E-3</v>
      </c>
      <c r="P704" s="20">
        <f t="shared" si="86"/>
        <v>-9.3043415129955148E-3</v>
      </c>
      <c r="Q704" s="20">
        <f t="shared" si="87"/>
        <v>-1.3028396961723629E-2</v>
      </c>
    </row>
    <row r="705" spans="1:17" x14ac:dyDescent="0.2">
      <c r="A705" s="1">
        <v>45586</v>
      </c>
      <c r="B705">
        <v>220.5</v>
      </c>
      <c r="C705">
        <v>68.42</v>
      </c>
      <c r="D705">
        <v>143.69</v>
      </c>
      <c r="E705" s="2">
        <v>5853.98</v>
      </c>
      <c r="F705" s="3">
        <f t="shared" si="80"/>
        <v>-1.050080775444262E-2</v>
      </c>
      <c r="G705" s="3">
        <f t="shared" si="81"/>
        <v>-1.4121037463976971E-2</v>
      </c>
      <c r="H705" s="3">
        <f t="shared" si="82"/>
        <v>4.1382809102768592E-2</v>
      </c>
      <c r="I705" s="3">
        <f t="shared" si="83"/>
        <v>-1.8227794573267841E-3</v>
      </c>
      <c r="J705" s="13">
        <v>-0.25</v>
      </c>
      <c r="K705" s="12">
        <v>0.01</v>
      </c>
      <c r="L705" s="13">
        <v>-0.13</v>
      </c>
      <c r="M705" s="20">
        <v>1.7000000000000001E-2</v>
      </c>
      <c r="N705" s="20">
        <f t="shared" si="84"/>
        <v>-2.7500807754442622E-2</v>
      </c>
      <c r="O705" s="20">
        <f t="shared" si="85"/>
        <v>2.4382809102768591E-2</v>
      </c>
      <c r="P705" s="20">
        <f t="shared" si="86"/>
        <v>-3.1121037463976972E-2</v>
      </c>
      <c r="Q705" s="20">
        <f t="shared" si="87"/>
        <v>-1.8822779457326785E-2</v>
      </c>
    </row>
    <row r="706" spans="1:17" x14ac:dyDescent="0.2">
      <c r="A706" s="1">
        <v>45587</v>
      </c>
      <c r="B706">
        <v>221.6</v>
      </c>
      <c r="C706">
        <v>68.42</v>
      </c>
      <c r="D706">
        <v>143.57</v>
      </c>
      <c r="E706" s="2">
        <v>5851.2</v>
      </c>
      <c r="F706" s="3">
        <f t="shared" si="80"/>
        <v>4.9886621315191615E-3</v>
      </c>
      <c r="G706" s="3">
        <f t="shared" si="81"/>
        <v>0</v>
      </c>
      <c r="H706" s="3">
        <f t="shared" si="82"/>
        <v>-8.3513118519040752E-4</v>
      </c>
      <c r="I706" s="3">
        <f t="shared" si="83"/>
        <v>-4.7489058725858069E-4</v>
      </c>
      <c r="J706" s="12">
        <v>0.72</v>
      </c>
      <c r="K706" s="13">
        <v>-0.38</v>
      </c>
      <c r="L706" s="12">
        <v>0.45</v>
      </c>
      <c r="M706" s="20">
        <v>1.7000000000000001E-2</v>
      </c>
      <c r="N706" s="20">
        <f t="shared" si="84"/>
        <v>-1.201133786848084E-2</v>
      </c>
      <c r="O706" s="20">
        <f t="shared" si="85"/>
        <v>-1.7835131185190409E-2</v>
      </c>
      <c r="P706" s="20">
        <f t="shared" si="86"/>
        <v>-1.7000000000000001E-2</v>
      </c>
      <c r="Q706" s="20">
        <f t="shared" si="87"/>
        <v>-1.7474890587258582E-2</v>
      </c>
    </row>
    <row r="707" spans="1:17" x14ac:dyDescent="0.2">
      <c r="A707" s="1">
        <v>45588</v>
      </c>
      <c r="B707">
        <v>220.9</v>
      </c>
      <c r="C707">
        <v>67</v>
      </c>
      <c r="D707">
        <v>139.54</v>
      </c>
      <c r="E707" s="2">
        <v>5797.42</v>
      </c>
      <c r="F707" s="3">
        <f t="shared" si="80"/>
        <v>-3.1588447653428942E-3</v>
      </c>
      <c r="G707" s="3">
        <f t="shared" si="81"/>
        <v>-2.0754165448699236E-2</v>
      </c>
      <c r="H707" s="3">
        <f t="shared" si="82"/>
        <v>-2.8069931044089946E-2</v>
      </c>
      <c r="I707" s="3">
        <f t="shared" si="83"/>
        <v>-9.1912770030079249E-3</v>
      </c>
      <c r="J707" s="12">
        <v>0.78</v>
      </c>
      <c r="K707" s="11">
        <v>0</v>
      </c>
      <c r="L707" s="12">
        <v>0.47</v>
      </c>
      <c r="M707" s="20">
        <v>1.7000000000000001E-2</v>
      </c>
      <c r="N707" s="20">
        <f t="shared" si="84"/>
        <v>-2.0158844765342895E-2</v>
      </c>
      <c r="O707" s="20">
        <f t="shared" si="85"/>
        <v>-4.5069931044089948E-2</v>
      </c>
      <c r="P707" s="20">
        <f t="shared" si="86"/>
        <v>-3.7754165448699237E-2</v>
      </c>
      <c r="Q707" s="20">
        <f t="shared" si="87"/>
        <v>-2.6191277003007926E-2</v>
      </c>
    </row>
    <row r="708" spans="1:17" x14ac:dyDescent="0.2">
      <c r="A708" s="1">
        <v>45589</v>
      </c>
      <c r="B708">
        <v>222.45</v>
      </c>
      <c r="C708">
        <v>66.3</v>
      </c>
      <c r="D708">
        <v>140.38999999999999</v>
      </c>
      <c r="E708" s="2">
        <v>5809.86</v>
      </c>
      <c r="F708" s="3">
        <f t="shared" ref="F708:F753" si="88">(B708/B707)-1</f>
        <v>7.0167496604798263E-3</v>
      </c>
      <c r="G708" s="3">
        <f t="shared" ref="G708:G753" si="89">(C708/C707)-1</f>
        <v>-1.0447761194029903E-2</v>
      </c>
      <c r="H708" s="3">
        <f t="shared" ref="H708:H753" si="90">(D708/D707)-1</f>
        <v>6.0914433137451152E-3</v>
      </c>
      <c r="I708" s="3">
        <f t="shared" ref="I708:I753" si="91">(E708/E707)-1</f>
        <v>2.1457820892740731E-3</v>
      </c>
      <c r="J708" s="12">
        <v>0.34</v>
      </c>
      <c r="K708" s="13">
        <v>-0.46</v>
      </c>
      <c r="L708" s="12">
        <v>0.01</v>
      </c>
      <c r="M708" s="20">
        <v>1.7000000000000001E-2</v>
      </c>
      <c r="N708" s="20">
        <f t="shared" ref="N708:N753" si="92">F708-M708</f>
        <v>-9.9832503395201749E-3</v>
      </c>
      <c r="O708" s="20">
        <f t="shared" ref="O708:O753" si="93">H708-M708</f>
        <v>-1.0908556686254886E-2</v>
      </c>
      <c r="P708" s="20">
        <f t="shared" ref="P708:P753" si="94">G708-M708</f>
        <v>-2.7447761194029904E-2</v>
      </c>
      <c r="Q708" s="20">
        <f t="shared" ref="Q708:Q753" si="95">I708-M708</f>
        <v>-1.4854217910725928E-2</v>
      </c>
    </row>
    <row r="709" spans="1:17" x14ac:dyDescent="0.2">
      <c r="A709" s="1">
        <v>45590</v>
      </c>
      <c r="B709">
        <v>219.81</v>
      </c>
      <c r="C709">
        <v>65.930000000000007</v>
      </c>
      <c r="D709">
        <v>141.52000000000001</v>
      </c>
      <c r="E709" s="2">
        <v>5808.12</v>
      </c>
      <c r="F709" s="3">
        <f t="shared" si="88"/>
        <v>-1.1867835468644561E-2</v>
      </c>
      <c r="G709" s="3">
        <f t="shared" si="89"/>
        <v>-5.5806938159878028E-3</v>
      </c>
      <c r="H709" s="3">
        <f t="shared" si="90"/>
        <v>8.0490063394831335E-3</v>
      </c>
      <c r="I709" s="3">
        <f t="shared" si="91"/>
        <v>-2.994908655286066E-4</v>
      </c>
      <c r="J709" s="12">
        <v>7.0000000000000007E-2</v>
      </c>
      <c r="K709" s="12">
        <v>0.18</v>
      </c>
      <c r="L709" s="13">
        <v>-0.17</v>
      </c>
      <c r="M709" s="20">
        <v>1.7000000000000001E-2</v>
      </c>
      <c r="N709" s="20">
        <f t="shared" si="92"/>
        <v>-2.8867835468644562E-2</v>
      </c>
      <c r="O709" s="20">
        <f t="shared" si="93"/>
        <v>-8.9509936605168677E-3</v>
      </c>
      <c r="P709" s="20">
        <f t="shared" si="94"/>
        <v>-2.2580693815987804E-2</v>
      </c>
      <c r="Q709" s="20">
        <f t="shared" si="95"/>
        <v>-1.7299490865528608E-2</v>
      </c>
    </row>
    <row r="710" spans="1:17" x14ac:dyDescent="0.2">
      <c r="A710" s="1">
        <v>45593</v>
      </c>
      <c r="B710">
        <v>222.97</v>
      </c>
      <c r="C710">
        <v>65.680000000000007</v>
      </c>
      <c r="D710">
        <v>140.5</v>
      </c>
      <c r="E710" s="2">
        <v>5823.52</v>
      </c>
      <c r="F710" s="3">
        <f t="shared" si="88"/>
        <v>1.4376052044947851E-2</v>
      </c>
      <c r="G710" s="3">
        <f t="shared" si="89"/>
        <v>-3.7919005005309092E-3</v>
      </c>
      <c r="H710" s="3">
        <f t="shared" si="90"/>
        <v>-7.2074618428491499E-3</v>
      </c>
      <c r="I710" s="3">
        <f t="shared" si="91"/>
        <v>2.6514603692762151E-3</v>
      </c>
      <c r="J710" s="12">
        <v>0.14000000000000001</v>
      </c>
      <c r="K710" s="12">
        <v>0.32</v>
      </c>
      <c r="L710" s="14">
        <v>-0.3</v>
      </c>
      <c r="M710" s="20">
        <v>1.7000000000000001E-2</v>
      </c>
      <c r="N710" s="20">
        <f t="shared" si="92"/>
        <v>-2.6239479550521499E-3</v>
      </c>
      <c r="O710" s="20">
        <f t="shared" si="93"/>
        <v>-2.4207461842849151E-2</v>
      </c>
      <c r="P710" s="20">
        <f t="shared" si="94"/>
        <v>-2.079190050053091E-2</v>
      </c>
      <c r="Q710" s="20">
        <f t="shared" si="95"/>
        <v>-1.4348539630723786E-2</v>
      </c>
    </row>
    <row r="711" spans="1:17" x14ac:dyDescent="0.2">
      <c r="A711" s="1">
        <v>45594</v>
      </c>
      <c r="B711">
        <v>220.4</v>
      </c>
      <c r="C711">
        <v>64.59</v>
      </c>
      <c r="D711">
        <v>141.22999999999999</v>
      </c>
      <c r="E711" s="2">
        <v>5832.92</v>
      </c>
      <c r="F711" s="3">
        <f t="shared" si="88"/>
        <v>-1.1526214288917758E-2</v>
      </c>
      <c r="G711" s="3">
        <f t="shared" si="89"/>
        <v>-1.6595615103532357E-2</v>
      </c>
      <c r="H711" s="3">
        <f t="shared" si="90"/>
        <v>5.1957295373665779E-3</v>
      </c>
      <c r="I711" s="3">
        <f t="shared" si="91"/>
        <v>1.6141440228589765E-3</v>
      </c>
      <c r="J711" s="12">
        <v>0.36</v>
      </c>
      <c r="K711" s="13">
        <v>-0.01</v>
      </c>
      <c r="L711" s="13">
        <v>-0.66</v>
      </c>
      <c r="M711" s="20">
        <v>1.7000000000000001E-2</v>
      </c>
      <c r="N711" s="20">
        <f t="shared" si="92"/>
        <v>-2.8526214288917759E-2</v>
      </c>
      <c r="O711" s="20">
        <f t="shared" si="93"/>
        <v>-1.1804270462633423E-2</v>
      </c>
      <c r="P711" s="20">
        <f t="shared" si="94"/>
        <v>-3.3595615103532359E-2</v>
      </c>
      <c r="Q711" s="20">
        <f t="shared" si="95"/>
        <v>-1.5385855977141025E-2</v>
      </c>
    </row>
    <row r="712" spans="1:17" x14ac:dyDescent="0.2">
      <c r="A712" s="1">
        <v>45595</v>
      </c>
      <c r="B712">
        <v>221.89</v>
      </c>
      <c r="C712">
        <v>64.94</v>
      </c>
      <c r="D712">
        <v>139.32</v>
      </c>
      <c r="E712" s="2">
        <v>5813.67</v>
      </c>
      <c r="F712" s="3">
        <f t="shared" si="88"/>
        <v>6.7604355716877063E-3</v>
      </c>
      <c r="G712" s="3">
        <f t="shared" si="89"/>
        <v>5.4187954791762305E-3</v>
      </c>
      <c r="H712" s="3">
        <f t="shared" si="90"/>
        <v>-1.3524038801954186E-2</v>
      </c>
      <c r="I712" s="3">
        <f t="shared" si="91"/>
        <v>-3.3002338451409985E-3</v>
      </c>
      <c r="J712" s="15">
        <v>1.77</v>
      </c>
      <c r="K712" s="13">
        <v>-0.76</v>
      </c>
      <c r="L712" s="12">
        <v>0.23</v>
      </c>
      <c r="M712" s="20">
        <v>1.7000000000000001E-2</v>
      </c>
      <c r="N712" s="20">
        <f t="shared" si="92"/>
        <v>-1.0239564428312295E-2</v>
      </c>
      <c r="O712" s="20">
        <f t="shared" si="93"/>
        <v>-3.0524038801954187E-2</v>
      </c>
      <c r="P712" s="20">
        <f t="shared" si="94"/>
        <v>-1.1581204520823771E-2</v>
      </c>
      <c r="Q712" s="20">
        <f t="shared" si="95"/>
        <v>-2.0300233845141E-2</v>
      </c>
    </row>
    <row r="713" spans="1:17" x14ac:dyDescent="0.2">
      <c r="A713" s="1">
        <v>45596</v>
      </c>
      <c r="B713">
        <v>219.43</v>
      </c>
      <c r="C713">
        <v>64.34</v>
      </c>
      <c r="D713">
        <v>132.74</v>
      </c>
      <c r="E713" s="2">
        <v>5705.45</v>
      </c>
      <c r="F713" s="3">
        <f t="shared" si="88"/>
        <v>-1.1086574428770923E-2</v>
      </c>
      <c r="G713" s="3">
        <f t="shared" si="89"/>
        <v>-9.2392978133660764E-3</v>
      </c>
      <c r="H713" s="3">
        <f t="shared" si="90"/>
        <v>-4.7229399942578132E-2</v>
      </c>
      <c r="I713" s="3">
        <f t="shared" si="91"/>
        <v>-1.8614747655095742E-2</v>
      </c>
      <c r="J713" s="11">
        <v>0.1</v>
      </c>
      <c r="K713" s="13">
        <v>-0.02</v>
      </c>
      <c r="L713" s="13">
        <v>-0.09</v>
      </c>
      <c r="M713" s="20">
        <v>1.7000000000000001E-2</v>
      </c>
      <c r="N713" s="20">
        <f t="shared" si="92"/>
        <v>-2.8086574428770925E-2</v>
      </c>
      <c r="O713" s="20">
        <f t="shared" si="93"/>
        <v>-6.4229399942578133E-2</v>
      </c>
      <c r="P713" s="20">
        <f t="shared" si="94"/>
        <v>-2.6239297813366078E-2</v>
      </c>
      <c r="Q713" s="20">
        <f t="shared" si="95"/>
        <v>-3.5614747655095744E-2</v>
      </c>
    </row>
    <row r="714" spans="1:17" x14ac:dyDescent="0.2">
      <c r="A714" s="1">
        <v>45597</v>
      </c>
      <c r="B714">
        <v>220.44</v>
      </c>
      <c r="C714">
        <v>64.05</v>
      </c>
      <c r="D714">
        <v>135.38</v>
      </c>
      <c r="E714" s="2">
        <v>5728.8</v>
      </c>
      <c r="F714" s="3">
        <f t="shared" si="88"/>
        <v>4.6028346169619816E-3</v>
      </c>
      <c r="G714" s="3">
        <f t="shared" si="89"/>
        <v>-4.5073049424930733E-3</v>
      </c>
      <c r="H714" s="3">
        <f t="shared" si="90"/>
        <v>1.9888503842097283E-2</v>
      </c>
      <c r="I714" s="3">
        <f t="shared" si="91"/>
        <v>4.0925781489629109E-3</v>
      </c>
      <c r="J714" s="12">
        <v>0.17</v>
      </c>
      <c r="K714" s="13">
        <v>-0.56000000000000005</v>
      </c>
      <c r="L714" s="15">
        <v>1.02</v>
      </c>
      <c r="M714" s="20">
        <v>1.7000000000000001E-2</v>
      </c>
      <c r="N714" s="20">
        <f t="shared" si="92"/>
        <v>-1.239716538303802E-2</v>
      </c>
      <c r="O714" s="20">
        <f t="shared" si="93"/>
        <v>2.8885038420972814E-3</v>
      </c>
      <c r="P714" s="20">
        <f t="shared" si="94"/>
        <v>-2.1507304942493075E-2</v>
      </c>
      <c r="Q714" s="20">
        <f t="shared" si="95"/>
        <v>-1.290742185103709E-2</v>
      </c>
    </row>
    <row r="715" spans="1:17" x14ac:dyDescent="0.2">
      <c r="A715" s="1">
        <v>45600</v>
      </c>
      <c r="B715">
        <v>217.31</v>
      </c>
      <c r="C715">
        <v>64.150000000000006</v>
      </c>
      <c r="D715">
        <v>136.03</v>
      </c>
      <c r="E715" s="2">
        <v>5712.69</v>
      </c>
      <c r="F715" s="3">
        <f t="shared" si="88"/>
        <v>-1.4198874977318088E-2</v>
      </c>
      <c r="G715" s="3">
        <f t="shared" si="89"/>
        <v>1.5612802498050637E-3</v>
      </c>
      <c r="H715" s="3">
        <f t="shared" si="90"/>
        <v>4.8013000443196674E-3</v>
      </c>
      <c r="I715" s="3">
        <f t="shared" si="91"/>
        <v>-2.8121072475911779E-3</v>
      </c>
      <c r="J715" s="15">
        <v>1.1100000000000001</v>
      </c>
      <c r="K715" s="13">
        <v>-0.63</v>
      </c>
      <c r="L715" s="12">
        <v>0.97</v>
      </c>
      <c r="M715" s="20">
        <v>1.7000000000000001E-2</v>
      </c>
      <c r="N715" s="20">
        <f t="shared" si="92"/>
        <v>-3.1198874977318089E-2</v>
      </c>
      <c r="O715" s="20">
        <f t="shared" si="93"/>
        <v>-1.2198699955680334E-2</v>
      </c>
      <c r="P715" s="20">
        <f t="shared" si="94"/>
        <v>-1.5438719750194937E-2</v>
      </c>
      <c r="Q715" s="20">
        <f t="shared" si="95"/>
        <v>-1.9812107247591179E-2</v>
      </c>
    </row>
    <row r="716" spans="1:17" x14ac:dyDescent="0.2">
      <c r="A716" s="1">
        <v>45601</v>
      </c>
      <c r="B716">
        <v>219</v>
      </c>
      <c r="C716">
        <v>64.400000000000006</v>
      </c>
      <c r="D716">
        <v>139.88999999999999</v>
      </c>
      <c r="E716" s="2">
        <v>5782.76</v>
      </c>
      <c r="F716" s="3">
        <f t="shared" si="88"/>
        <v>7.7769085638028645E-3</v>
      </c>
      <c r="G716" s="3">
        <f t="shared" si="89"/>
        <v>3.8971161340608518E-3</v>
      </c>
      <c r="H716" s="3">
        <f t="shared" si="90"/>
        <v>2.8376093508784672E-2</v>
      </c>
      <c r="I716" s="3">
        <f t="shared" si="91"/>
        <v>1.2265675189796932E-2</v>
      </c>
      <c r="J716" s="17">
        <v>-1.51</v>
      </c>
      <c r="K716" s="12">
        <v>0.47</v>
      </c>
      <c r="L716" s="13">
        <v>-0.25</v>
      </c>
      <c r="M716" s="20">
        <v>1.7000000000000001E-2</v>
      </c>
      <c r="N716" s="20">
        <f t="shared" si="92"/>
        <v>-9.2230914361971367E-3</v>
      </c>
      <c r="O716" s="20">
        <f t="shared" si="93"/>
        <v>1.1376093508784671E-2</v>
      </c>
      <c r="P716" s="20">
        <f t="shared" si="94"/>
        <v>-1.3102883865939149E-2</v>
      </c>
      <c r="Q716" s="20">
        <f t="shared" si="95"/>
        <v>-4.7343248102030694E-3</v>
      </c>
    </row>
    <row r="717" spans="1:17" x14ac:dyDescent="0.2">
      <c r="A717" s="1">
        <v>45602</v>
      </c>
      <c r="B717">
        <v>244.29</v>
      </c>
      <c r="C717">
        <v>62.76</v>
      </c>
      <c r="D717">
        <v>145.59</v>
      </c>
      <c r="E717" s="2">
        <v>5929.04</v>
      </c>
      <c r="F717" s="3">
        <f t="shared" si="88"/>
        <v>0.11547945205479437</v>
      </c>
      <c r="G717" s="3">
        <f t="shared" si="89"/>
        <v>-2.546583850931694E-2</v>
      </c>
      <c r="H717" s="3">
        <f t="shared" si="90"/>
        <v>4.0746300664808111E-2</v>
      </c>
      <c r="I717" s="3">
        <f t="shared" si="91"/>
        <v>2.5295879476236127E-2</v>
      </c>
      <c r="J717" s="15">
        <v>1.39</v>
      </c>
      <c r="K717" s="13">
        <v>-0.43</v>
      </c>
      <c r="L717" s="12">
        <v>0.71</v>
      </c>
      <c r="M717" s="20">
        <v>1.7000000000000001E-2</v>
      </c>
      <c r="N717" s="20">
        <f t="shared" si="92"/>
        <v>9.8479452054794372E-2</v>
      </c>
      <c r="O717" s="20">
        <f t="shared" si="93"/>
        <v>2.3746300664808109E-2</v>
      </c>
      <c r="P717" s="20">
        <f t="shared" si="94"/>
        <v>-4.2465838509316942E-2</v>
      </c>
      <c r="Q717" s="20">
        <f t="shared" si="95"/>
        <v>8.295879476236126E-3</v>
      </c>
    </row>
    <row r="718" spans="1:17" x14ac:dyDescent="0.2">
      <c r="A718" s="1">
        <v>45603</v>
      </c>
      <c r="B718">
        <v>233.73</v>
      </c>
      <c r="C718">
        <v>62.72</v>
      </c>
      <c r="D718">
        <v>148.86000000000001</v>
      </c>
      <c r="E718" s="2">
        <v>5973.1</v>
      </c>
      <c r="F718" s="3">
        <f t="shared" si="88"/>
        <v>-4.3227311801547375E-2</v>
      </c>
      <c r="G718" s="3">
        <f t="shared" si="89"/>
        <v>-6.3734862970044048E-4</v>
      </c>
      <c r="H718" s="3">
        <f t="shared" si="90"/>
        <v>2.2460333814135591E-2</v>
      </c>
      <c r="I718" s="3">
        <f t="shared" si="91"/>
        <v>7.4312198939459062E-3</v>
      </c>
      <c r="J718" s="12">
        <v>0.26</v>
      </c>
      <c r="K718" s="12">
        <v>0.43</v>
      </c>
      <c r="L718" s="14">
        <v>-0.3</v>
      </c>
      <c r="M718" s="20">
        <v>1.7000000000000001E-2</v>
      </c>
      <c r="N718" s="20">
        <f t="shared" si="92"/>
        <v>-6.0227311801547376E-2</v>
      </c>
      <c r="O718" s="20">
        <f t="shared" si="93"/>
        <v>5.46033381413559E-3</v>
      </c>
      <c r="P718" s="20">
        <f t="shared" si="94"/>
        <v>-1.7637348629700442E-2</v>
      </c>
      <c r="Q718" s="20">
        <f t="shared" si="95"/>
        <v>-9.568780106054095E-3</v>
      </c>
    </row>
    <row r="719" spans="1:17" x14ac:dyDescent="0.2">
      <c r="A719" s="1">
        <v>45604</v>
      </c>
      <c r="B719">
        <v>234.32</v>
      </c>
      <c r="C719">
        <v>62.97</v>
      </c>
      <c r="D719">
        <v>147.61000000000001</v>
      </c>
      <c r="E719" s="2">
        <v>5995.54</v>
      </c>
      <c r="F719" s="3">
        <f t="shared" si="88"/>
        <v>2.5242801523124303E-3</v>
      </c>
      <c r="G719" s="3">
        <f t="shared" si="89"/>
        <v>3.9859693877550839E-3</v>
      </c>
      <c r="H719" s="3">
        <f t="shared" si="90"/>
        <v>-8.3971516861480744E-3</v>
      </c>
      <c r="I719" s="3">
        <f t="shared" si="91"/>
        <v>3.7568431802581514E-3</v>
      </c>
      <c r="J719" s="12">
        <v>0.46</v>
      </c>
      <c r="K719" s="12">
        <v>7.0000000000000007E-2</v>
      </c>
      <c r="L719" s="12">
        <v>0.69</v>
      </c>
      <c r="M719" s="20">
        <v>1.7000000000000001E-2</v>
      </c>
      <c r="N719" s="20">
        <f t="shared" si="92"/>
        <v>-1.4475719847687571E-2</v>
      </c>
      <c r="O719" s="20">
        <f t="shared" si="93"/>
        <v>-2.5397151686148076E-2</v>
      </c>
      <c r="P719" s="20">
        <f t="shared" si="94"/>
        <v>-1.3014030612244917E-2</v>
      </c>
      <c r="Q719" s="20">
        <f t="shared" si="95"/>
        <v>-1.324315681974185E-2</v>
      </c>
    </row>
    <row r="720" spans="1:17" x14ac:dyDescent="0.2">
      <c r="A720" s="1">
        <v>45607</v>
      </c>
      <c r="B720">
        <v>236.6</v>
      </c>
      <c r="C720">
        <v>62.42</v>
      </c>
      <c r="D720">
        <v>145.24</v>
      </c>
      <c r="E720" s="2">
        <v>6001.35</v>
      </c>
      <c r="F720" s="3">
        <f t="shared" si="88"/>
        <v>9.7302833731649496E-3</v>
      </c>
      <c r="G720" s="3">
        <f t="shared" si="89"/>
        <v>-8.7343179291725637E-3</v>
      </c>
      <c r="H720" s="3">
        <f t="shared" si="90"/>
        <v>-1.6055822776234741E-2</v>
      </c>
      <c r="I720" s="3">
        <f t="shared" si="91"/>
        <v>9.6905366322297404E-4</v>
      </c>
      <c r="J720" s="12">
        <v>0.28000000000000003</v>
      </c>
      <c r="K720" s="12">
        <v>0.88</v>
      </c>
      <c r="L720" s="13">
        <v>-0.19</v>
      </c>
      <c r="M720" s="20">
        <v>1.7000000000000001E-2</v>
      </c>
      <c r="N720" s="20">
        <f t="shared" si="92"/>
        <v>-7.2697166268350516E-3</v>
      </c>
      <c r="O720" s="20">
        <f t="shared" si="93"/>
        <v>-3.3055822776234742E-2</v>
      </c>
      <c r="P720" s="20">
        <f t="shared" si="94"/>
        <v>-2.5734317929172565E-2</v>
      </c>
      <c r="Q720" s="20">
        <f t="shared" si="95"/>
        <v>-1.6030946336777027E-2</v>
      </c>
    </row>
    <row r="721" spans="1:17" x14ac:dyDescent="0.2">
      <c r="A721" s="1">
        <v>45608</v>
      </c>
      <c r="B721">
        <v>236.87</v>
      </c>
      <c r="C721">
        <v>62.26</v>
      </c>
      <c r="D721">
        <v>148.27000000000001</v>
      </c>
      <c r="E721" s="2">
        <v>5983.99</v>
      </c>
      <c r="F721" s="3">
        <f t="shared" si="88"/>
        <v>1.1411665257818893E-3</v>
      </c>
      <c r="G721" s="3">
        <f t="shared" si="89"/>
        <v>-2.563280999679618E-3</v>
      </c>
      <c r="H721" s="3">
        <f t="shared" si="90"/>
        <v>2.0862021481685478E-2</v>
      </c>
      <c r="I721" s="3">
        <f t="shared" si="91"/>
        <v>-2.8926824797754769E-3</v>
      </c>
      <c r="J721" s="18">
        <v>1.1000000000000001</v>
      </c>
      <c r="K721" s="12">
        <v>0.37</v>
      </c>
      <c r="L721" s="13">
        <v>-0.34</v>
      </c>
      <c r="M721" s="20">
        <v>1.7000000000000001E-2</v>
      </c>
      <c r="N721" s="20">
        <f t="shared" si="92"/>
        <v>-1.5858833474218112E-2</v>
      </c>
      <c r="O721" s="20">
        <f t="shared" si="93"/>
        <v>3.8620214816854764E-3</v>
      </c>
      <c r="P721" s="20">
        <f t="shared" si="94"/>
        <v>-1.9563280999679619E-2</v>
      </c>
      <c r="Q721" s="20">
        <f t="shared" si="95"/>
        <v>-1.9892682479775478E-2</v>
      </c>
    </row>
    <row r="722" spans="1:17" x14ac:dyDescent="0.2">
      <c r="A722" s="1">
        <v>45609</v>
      </c>
      <c r="B722">
        <v>238.45</v>
      </c>
      <c r="C722">
        <v>62.07</v>
      </c>
      <c r="D722">
        <v>146.25</v>
      </c>
      <c r="E722" s="2">
        <v>5985.38</v>
      </c>
      <c r="F722" s="3">
        <f t="shared" si="88"/>
        <v>6.6703254949971313E-3</v>
      </c>
      <c r="G722" s="3">
        <f t="shared" si="89"/>
        <v>-3.051718599421771E-3</v>
      </c>
      <c r="H722" s="3">
        <f t="shared" si="90"/>
        <v>-1.3623794429082126E-2</v>
      </c>
      <c r="I722" s="3">
        <f t="shared" si="91"/>
        <v>2.3228648443596178E-4</v>
      </c>
      <c r="J722" s="12">
        <v>0.39</v>
      </c>
      <c r="K722" s="14">
        <v>-0.4</v>
      </c>
      <c r="L722" s="13">
        <v>-0.46</v>
      </c>
      <c r="M722" s="20">
        <v>1.7000000000000001E-2</v>
      </c>
      <c r="N722" s="20">
        <f t="shared" si="92"/>
        <v>-1.032967450500287E-2</v>
      </c>
      <c r="O722" s="20">
        <f t="shared" si="93"/>
        <v>-3.0623794429082127E-2</v>
      </c>
      <c r="P722" s="20">
        <f t="shared" si="94"/>
        <v>-2.0051718599421772E-2</v>
      </c>
      <c r="Q722" s="20">
        <f t="shared" si="95"/>
        <v>-1.6767713515564039E-2</v>
      </c>
    </row>
    <row r="723" spans="1:17" x14ac:dyDescent="0.2">
      <c r="A723" s="1">
        <v>45610</v>
      </c>
      <c r="B723">
        <v>239.15</v>
      </c>
      <c r="C723">
        <v>61.62</v>
      </c>
      <c r="D723">
        <v>146.74</v>
      </c>
      <c r="E723" s="2">
        <v>5949.17</v>
      </c>
      <c r="F723" s="3">
        <f t="shared" si="88"/>
        <v>2.9356259173831667E-3</v>
      </c>
      <c r="G723" s="3">
        <f t="shared" si="89"/>
        <v>-7.2498791686805841E-3</v>
      </c>
      <c r="H723" s="3">
        <f t="shared" si="90"/>
        <v>3.350427350427454E-3</v>
      </c>
      <c r="I723" s="3">
        <f t="shared" si="91"/>
        <v>-6.0497412027306074E-3</v>
      </c>
      <c r="J723" s="14">
        <v>-0.6</v>
      </c>
      <c r="K723" s="12">
        <v>0.06</v>
      </c>
      <c r="L723" s="12">
        <v>0.66</v>
      </c>
      <c r="M723" s="20">
        <v>2E-3</v>
      </c>
      <c r="N723" s="20">
        <f t="shared" si="92"/>
        <v>9.3562591738316665E-4</v>
      </c>
      <c r="O723" s="20">
        <f t="shared" si="93"/>
        <v>1.3504273504274539E-3</v>
      </c>
      <c r="P723" s="20">
        <f t="shared" si="94"/>
        <v>-9.2498791686805842E-3</v>
      </c>
      <c r="Q723" s="20">
        <f t="shared" si="95"/>
        <v>-8.0497412027306075E-3</v>
      </c>
    </row>
    <row r="724" spans="1:17" x14ac:dyDescent="0.2">
      <c r="A724" s="1">
        <v>45611</v>
      </c>
      <c r="B724">
        <v>242.56</v>
      </c>
      <c r="C724">
        <v>60.83</v>
      </c>
      <c r="D724">
        <v>141.96</v>
      </c>
      <c r="E724" s="2">
        <v>5870.62</v>
      </c>
      <c r="F724" s="3">
        <f t="shared" si="88"/>
        <v>1.4258833368179014E-2</v>
      </c>
      <c r="G724" s="3">
        <f t="shared" si="89"/>
        <v>-1.2820512820512775E-2</v>
      </c>
      <c r="H724" s="3">
        <f t="shared" si="90"/>
        <v>-3.2574621780019131E-2</v>
      </c>
      <c r="I724" s="3">
        <f t="shared" si="91"/>
        <v>-1.3203522508181798E-2</v>
      </c>
      <c r="J724" s="14">
        <v>-0.7</v>
      </c>
      <c r="K724" s="12">
        <v>0.36</v>
      </c>
      <c r="L724" s="13">
        <v>-0.42</v>
      </c>
      <c r="M724" s="20">
        <v>2E-3</v>
      </c>
      <c r="N724" s="20">
        <f t="shared" si="92"/>
        <v>1.2258833368179014E-2</v>
      </c>
      <c r="O724" s="20">
        <f t="shared" si="93"/>
        <v>-3.4574621780019132E-2</v>
      </c>
      <c r="P724" s="20">
        <f t="shared" si="94"/>
        <v>-1.4820512820512775E-2</v>
      </c>
      <c r="Q724" s="20">
        <f t="shared" si="95"/>
        <v>-1.5203522508181798E-2</v>
      </c>
    </row>
    <row r="725" spans="1:17" x14ac:dyDescent="0.2">
      <c r="A725" s="1">
        <v>45614</v>
      </c>
      <c r="B725">
        <v>242.28</v>
      </c>
      <c r="C725">
        <v>60.94</v>
      </c>
      <c r="D725">
        <v>140.13</v>
      </c>
      <c r="E725" s="2">
        <v>5893.62</v>
      </c>
      <c r="F725" s="3">
        <f t="shared" si="88"/>
        <v>-1.154353562005328E-3</v>
      </c>
      <c r="G725" s="3">
        <f t="shared" si="89"/>
        <v>1.8083182640145079E-3</v>
      </c>
      <c r="H725" s="3">
        <f t="shared" si="90"/>
        <v>-1.289095519864758E-2</v>
      </c>
      <c r="I725" s="3">
        <f t="shared" si="91"/>
        <v>3.9178144727474162E-3</v>
      </c>
      <c r="J725" s="12">
        <v>0.23</v>
      </c>
      <c r="K725" s="12">
        <v>0.49</v>
      </c>
      <c r="L725" s="13">
        <v>-0.43</v>
      </c>
      <c r="M725" s="20">
        <v>2E-3</v>
      </c>
      <c r="N725" s="20">
        <f t="shared" si="92"/>
        <v>-3.1543535620053281E-3</v>
      </c>
      <c r="O725" s="20">
        <f t="shared" si="93"/>
        <v>-1.489095519864758E-2</v>
      </c>
      <c r="P725" s="20">
        <f t="shared" si="94"/>
        <v>-1.9168173598549214E-4</v>
      </c>
      <c r="Q725" s="20">
        <f t="shared" si="95"/>
        <v>1.9178144727474162E-3</v>
      </c>
    </row>
    <row r="726" spans="1:17" x14ac:dyDescent="0.2">
      <c r="A726" s="1">
        <v>45615</v>
      </c>
      <c r="B726">
        <v>240.36</v>
      </c>
      <c r="C726">
        <v>61.66</v>
      </c>
      <c r="D726">
        <v>146.99</v>
      </c>
      <c r="E726" s="2">
        <v>5916.98</v>
      </c>
      <c r="F726" s="3">
        <f t="shared" si="88"/>
        <v>-7.9247152055472725E-3</v>
      </c>
      <c r="G726" s="3">
        <f t="shared" si="89"/>
        <v>1.1814899901542386E-2</v>
      </c>
      <c r="H726" s="3">
        <f t="shared" si="90"/>
        <v>4.8954542210804419E-2</v>
      </c>
      <c r="I726" s="3">
        <f t="shared" si="91"/>
        <v>3.9636081050355987E-3</v>
      </c>
      <c r="J726" s="14">
        <v>-0.7</v>
      </c>
      <c r="K726" s="12">
        <v>0.82</v>
      </c>
      <c r="L726" s="13">
        <v>-0.35</v>
      </c>
      <c r="M726" s="20">
        <v>2E-3</v>
      </c>
      <c r="N726" s="20">
        <f t="shared" si="92"/>
        <v>-9.9247152055472725E-3</v>
      </c>
      <c r="O726" s="20">
        <f t="shared" si="93"/>
        <v>4.6954542210804417E-2</v>
      </c>
      <c r="P726" s="20">
        <f t="shared" si="94"/>
        <v>9.8148999015423861E-3</v>
      </c>
      <c r="Q726" s="20">
        <f t="shared" si="95"/>
        <v>1.9636081050355986E-3</v>
      </c>
    </row>
    <row r="727" spans="1:17" x14ac:dyDescent="0.2">
      <c r="A727" s="1">
        <v>45616</v>
      </c>
      <c r="B727">
        <v>238.08</v>
      </c>
      <c r="C727">
        <v>62.06</v>
      </c>
      <c r="D727">
        <v>145.87</v>
      </c>
      <c r="E727" s="2">
        <v>5917.11</v>
      </c>
      <c r="F727" s="3">
        <f t="shared" si="88"/>
        <v>-9.4857713429855606E-3</v>
      </c>
      <c r="G727" s="3">
        <f t="shared" si="89"/>
        <v>6.4871878040870801E-3</v>
      </c>
      <c r="H727" s="3">
        <f t="shared" si="90"/>
        <v>-7.6195659568678575E-3</v>
      </c>
      <c r="I727" s="3">
        <f t="shared" si="91"/>
        <v>2.1970667468895755E-5</v>
      </c>
      <c r="J727" s="17">
        <v>-3.54</v>
      </c>
      <c r="K727" s="12">
        <v>0.01</v>
      </c>
      <c r="L727" s="17">
        <v>-1.35</v>
      </c>
      <c r="M727" s="20">
        <v>2E-3</v>
      </c>
      <c r="N727" s="20">
        <f t="shared" si="92"/>
        <v>-1.1485771342985561E-2</v>
      </c>
      <c r="O727" s="20">
        <f t="shared" si="93"/>
        <v>-9.6195659568678576E-3</v>
      </c>
      <c r="P727" s="20">
        <f t="shared" si="94"/>
        <v>4.48718780408708E-3</v>
      </c>
      <c r="Q727" s="20">
        <f t="shared" si="95"/>
        <v>-1.9780293325311043E-3</v>
      </c>
    </row>
    <row r="728" spans="1:17" x14ac:dyDescent="0.2">
      <c r="A728" s="1">
        <v>45617</v>
      </c>
      <c r="B728">
        <v>242.01</v>
      </c>
      <c r="C728">
        <v>62.82</v>
      </c>
      <c r="D728">
        <v>146.65</v>
      </c>
      <c r="E728" s="2">
        <v>5948.71</v>
      </c>
      <c r="F728" s="3">
        <f t="shared" si="88"/>
        <v>1.6507056451612767E-2</v>
      </c>
      <c r="G728" s="3">
        <f t="shared" si="89"/>
        <v>1.2246213341927215E-2</v>
      </c>
      <c r="H728" s="3">
        <f t="shared" si="90"/>
        <v>5.3472269829299979E-3</v>
      </c>
      <c r="I728" s="3">
        <f t="shared" si="91"/>
        <v>5.3404449131417842E-3</v>
      </c>
      <c r="J728" s="17">
        <v>-2.35</v>
      </c>
      <c r="K728" s="14">
        <v>-0.5</v>
      </c>
      <c r="L728" s="12">
        <v>0.84</v>
      </c>
      <c r="M728" s="20">
        <v>2E-3</v>
      </c>
      <c r="N728" s="20">
        <f t="shared" si="92"/>
        <v>1.4507056451612767E-2</v>
      </c>
      <c r="O728" s="20">
        <f t="shared" si="93"/>
        <v>3.3472269829299978E-3</v>
      </c>
      <c r="P728" s="20">
        <f t="shared" si="94"/>
        <v>1.0246213341927215E-2</v>
      </c>
      <c r="Q728" s="20">
        <f t="shared" si="95"/>
        <v>3.3404449131417841E-3</v>
      </c>
    </row>
    <row r="729" spans="1:17" x14ac:dyDescent="0.2">
      <c r="A729" s="1">
        <v>45618</v>
      </c>
      <c r="B729">
        <v>245.76</v>
      </c>
      <c r="C729">
        <v>62.97</v>
      </c>
      <c r="D729">
        <v>141.93</v>
      </c>
      <c r="E729" s="2">
        <v>5969.34</v>
      </c>
      <c r="F729" s="3">
        <f t="shared" si="88"/>
        <v>1.5495227469939366E-2</v>
      </c>
      <c r="G729" s="3">
        <f t="shared" si="89"/>
        <v>2.3877745940783512E-3</v>
      </c>
      <c r="H729" s="3">
        <f t="shared" si="90"/>
        <v>-3.2185475622229842E-2</v>
      </c>
      <c r="I729" s="3">
        <f t="shared" si="91"/>
        <v>3.4679787718681077E-3</v>
      </c>
      <c r="J729" s="17">
        <v>-1.89</v>
      </c>
      <c r="K729" s="13">
        <v>-0.62</v>
      </c>
      <c r="L729" s="12">
        <v>0.01</v>
      </c>
      <c r="M729" s="20">
        <v>2E-3</v>
      </c>
      <c r="N729" s="20">
        <f t="shared" si="92"/>
        <v>1.3495227469939365E-2</v>
      </c>
      <c r="O729" s="20">
        <f t="shared" si="93"/>
        <v>-3.4185475622229844E-2</v>
      </c>
      <c r="P729" s="20">
        <f t="shared" si="94"/>
        <v>3.877745940783512E-4</v>
      </c>
      <c r="Q729" s="20">
        <f t="shared" si="95"/>
        <v>1.4679787718681076E-3</v>
      </c>
    </row>
    <row r="730" spans="1:17" x14ac:dyDescent="0.2">
      <c r="A730" s="1">
        <v>45621</v>
      </c>
      <c r="B730">
        <v>247.48</v>
      </c>
      <c r="C730">
        <v>63.43</v>
      </c>
      <c r="D730">
        <v>136</v>
      </c>
      <c r="E730" s="2">
        <v>5987.37</v>
      </c>
      <c r="F730" s="3">
        <f t="shared" si="88"/>
        <v>6.9986979166667407E-3</v>
      </c>
      <c r="G730" s="3">
        <f t="shared" si="89"/>
        <v>7.3050659043989441E-3</v>
      </c>
      <c r="H730" s="3">
        <f t="shared" si="90"/>
        <v>-4.1781159726625883E-2</v>
      </c>
      <c r="I730" s="3">
        <f t="shared" si="91"/>
        <v>3.0204344198856425E-3</v>
      </c>
      <c r="J730" s="15">
        <v>1.63</v>
      </c>
      <c r="K730" s="17">
        <v>-1.31</v>
      </c>
      <c r="L730" s="11">
        <v>0.7</v>
      </c>
      <c r="M730" s="20">
        <v>2E-3</v>
      </c>
      <c r="N730" s="20">
        <f t="shared" si="92"/>
        <v>4.9986979166667406E-3</v>
      </c>
      <c r="O730" s="20">
        <f t="shared" si="93"/>
        <v>-4.3781159726625885E-2</v>
      </c>
      <c r="P730" s="20">
        <f t="shared" si="94"/>
        <v>5.3050659043989441E-3</v>
      </c>
      <c r="Q730" s="20">
        <f t="shared" si="95"/>
        <v>1.0204344198856425E-3</v>
      </c>
    </row>
    <row r="731" spans="1:17" x14ac:dyDescent="0.2">
      <c r="A731" s="1">
        <v>45622</v>
      </c>
      <c r="B731">
        <v>247.16</v>
      </c>
      <c r="C731">
        <v>63.59</v>
      </c>
      <c r="D731">
        <v>136.9</v>
      </c>
      <c r="E731" s="2">
        <v>6021.63</v>
      </c>
      <c r="F731" s="3">
        <f t="shared" si="88"/>
        <v>-1.293033780507491E-3</v>
      </c>
      <c r="G731" s="3">
        <f t="shared" si="89"/>
        <v>2.5224657102318471E-3</v>
      </c>
      <c r="H731" s="3">
        <f t="shared" si="90"/>
        <v>6.6176470588235059E-3</v>
      </c>
      <c r="I731" s="3">
        <f t="shared" si="91"/>
        <v>5.722044904524104E-3</v>
      </c>
      <c r="J731" s="18">
        <v>2.2999999999999998</v>
      </c>
      <c r="K731" s="15">
        <v>1.36</v>
      </c>
      <c r="L731" s="12">
        <v>0.36</v>
      </c>
      <c r="M731" s="20">
        <v>2E-3</v>
      </c>
      <c r="N731" s="20">
        <f t="shared" si="92"/>
        <v>-3.293033780507491E-3</v>
      </c>
      <c r="O731" s="20">
        <f t="shared" si="93"/>
        <v>4.6176470588235059E-3</v>
      </c>
      <c r="P731" s="20">
        <f t="shared" si="94"/>
        <v>5.2246571023184703E-4</v>
      </c>
      <c r="Q731" s="20">
        <f t="shared" si="95"/>
        <v>3.7220449045241039E-3</v>
      </c>
    </row>
    <row r="732" spans="1:17" x14ac:dyDescent="0.2">
      <c r="A732" s="1">
        <v>45623</v>
      </c>
      <c r="B732">
        <v>246.99</v>
      </c>
      <c r="C732">
        <v>63.48</v>
      </c>
      <c r="D732">
        <v>135.32</v>
      </c>
      <c r="E732" s="2">
        <v>5998.74</v>
      </c>
      <c r="F732" s="3">
        <f t="shared" si="88"/>
        <v>-6.8781356206504274E-4</v>
      </c>
      <c r="G732" s="3">
        <f t="shared" si="89"/>
        <v>-1.7298317345495473E-3</v>
      </c>
      <c r="H732" s="3">
        <f t="shared" si="90"/>
        <v>-1.1541271000730546E-2</v>
      </c>
      <c r="I732" s="3">
        <f t="shared" si="91"/>
        <v>-3.8012963267421984E-3</v>
      </c>
      <c r="J732" s="13">
        <v>-0.78</v>
      </c>
      <c r="K732" s="13">
        <v>-0.19</v>
      </c>
      <c r="L732" s="12">
        <v>0.21</v>
      </c>
      <c r="M732" s="20">
        <v>2E-3</v>
      </c>
      <c r="N732" s="20">
        <f t="shared" si="92"/>
        <v>-2.6878135620650428E-3</v>
      </c>
      <c r="O732" s="20">
        <f t="shared" si="93"/>
        <v>-1.3541271000730546E-2</v>
      </c>
      <c r="P732" s="20">
        <f t="shared" si="94"/>
        <v>-3.7298317345495473E-3</v>
      </c>
      <c r="Q732" s="20">
        <f t="shared" si="95"/>
        <v>-5.8012963267421985E-3</v>
      </c>
    </row>
    <row r="733" spans="1:17" x14ac:dyDescent="0.2">
      <c r="A733" s="1">
        <v>45625</v>
      </c>
      <c r="B733">
        <v>246.92</v>
      </c>
      <c r="C733">
        <v>63.61</v>
      </c>
      <c r="D733">
        <v>138.22999999999999</v>
      </c>
      <c r="E733" s="2">
        <v>6032.38</v>
      </c>
      <c r="F733" s="3">
        <f t="shared" si="88"/>
        <v>-2.8341228389816564E-4</v>
      </c>
      <c r="G733" s="3">
        <f t="shared" si="89"/>
        <v>2.0478890989288345E-3</v>
      </c>
      <c r="H733" s="3">
        <f t="shared" si="90"/>
        <v>2.1504581732190386E-2</v>
      </c>
      <c r="I733" s="3">
        <f t="shared" si="91"/>
        <v>5.6078443139726541E-3</v>
      </c>
      <c r="J733" s="13">
        <v>-0.34</v>
      </c>
      <c r="K733" s="12">
        <v>0.44</v>
      </c>
      <c r="L733" s="12">
        <v>0.18</v>
      </c>
      <c r="M733" s="20">
        <v>2E-3</v>
      </c>
      <c r="N733" s="20">
        <f t="shared" si="92"/>
        <v>-2.2834122838981657E-3</v>
      </c>
      <c r="O733" s="20">
        <f t="shared" si="93"/>
        <v>1.9504581732190385E-2</v>
      </c>
      <c r="P733" s="20">
        <f t="shared" si="94"/>
        <v>4.7889098928834486E-5</v>
      </c>
      <c r="Q733" s="20">
        <f t="shared" si="95"/>
        <v>3.6078443139726541E-3</v>
      </c>
    </row>
    <row r="734" spans="1:17" x14ac:dyDescent="0.2">
      <c r="A734" s="1">
        <v>45628</v>
      </c>
      <c r="B734">
        <v>243.48</v>
      </c>
      <c r="C734">
        <v>63.18</v>
      </c>
      <c r="D734">
        <v>138.61000000000001</v>
      </c>
      <c r="E734" s="2">
        <v>6047.15</v>
      </c>
      <c r="F734" s="3">
        <f t="shared" si="88"/>
        <v>-1.3931637777417794E-2</v>
      </c>
      <c r="G734" s="3">
        <f t="shared" si="89"/>
        <v>-6.7599434051249796E-3</v>
      </c>
      <c r="H734" s="3">
        <f t="shared" si="90"/>
        <v>2.749041452651646E-3</v>
      </c>
      <c r="I734" s="3">
        <f t="shared" si="91"/>
        <v>2.4484531809998433E-3</v>
      </c>
      <c r="J734" s="12">
        <v>0.19</v>
      </c>
      <c r="K734" s="13">
        <v>-0.04</v>
      </c>
      <c r="L734" s="13">
        <v>-0.15</v>
      </c>
      <c r="M734" s="20">
        <v>2E-3</v>
      </c>
      <c r="N734" s="20">
        <f t="shared" si="92"/>
        <v>-1.5931637777417795E-2</v>
      </c>
      <c r="O734" s="20">
        <f t="shared" si="93"/>
        <v>7.4904145265164597E-4</v>
      </c>
      <c r="P734" s="20">
        <f t="shared" si="94"/>
        <v>-8.7599434051249796E-3</v>
      </c>
      <c r="Q734" s="20">
        <f t="shared" si="95"/>
        <v>4.4845318099984328E-4</v>
      </c>
    </row>
    <row r="735" spans="1:17" x14ac:dyDescent="0.2">
      <c r="A735" s="1">
        <v>45629</v>
      </c>
      <c r="B735">
        <v>242.07</v>
      </c>
      <c r="C735">
        <v>63.05</v>
      </c>
      <c r="D735">
        <v>140.24</v>
      </c>
      <c r="E735" s="2">
        <v>6049.88</v>
      </c>
      <c r="F735" s="3">
        <f t="shared" si="88"/>
        <v>-5.7910300640710011E-3</v>
      </c>
      <c r="G735" s="3">
        <f t="shared" si="89"/>
        <v>-2.057613168724326E-3</v>
      </c>
      <c r="H735" s="3">
        <f t="shared" si="90"/>
        <v>1.1759613303513383E-2</v>
      </c>
      <c r="I735" s="3">
        <f t="shared" si="91"/>
        <v>4.5145233705135013E-4</v>
      </c>
      <c r="J735" s="13">
        <v>-0.35</v>
      </c>
      <c r="K735" s="12">
        <v>0.19</v>
      </c>
      <c r="L735" s="11">
        <v>0.1</v>
      </c>
      <c r="M735" s="20">
        <v>2E-3</v>
      </c>
      <c r="N735" s="20">
        <f t="shared" si="92"/>
        <v>-7.7910300640710011E-3</v>
      </c>
      <c r="O735" s="20">
        <f t="shared" si="93"/>
        <v>9.7596133035133831E-3</v>
      </c>
      <c r="P735" s="20">
        <f t="shared" si="94"/>
        <v>-4.057613168724326E-3</v>
      </c>
      <c r="Q735" s="20">
        <f t="shared" si="95"/>
        <v>-1.5485476629486499E-3</v>
      </c>
    </row>
    <row r="736" spans="1:17" x14ac:dyDescent="0.2">
      <c r="A736" s="1">
        <v>45630</v>
      </c>
      <c r="B736">
        <v>240.67</v>
      </c>
      <c r="C736">
        <v>61.75</v>
      </c>
      <c r="D736">
        <v>145.12</v>
      </c>
      <c r="E736" s="2">
        <v>6086.49</v>
      </c>
      <c r="F736" s="3">
        <f t="shared" si="88"/>
        <v>-5.7834510678729245E-3</v>
      </c>
      <c r="G736" s="3">
        <f t="shared" si="89"/>
        <v>-2.0618556701030855E-2</v>
      </c>
      <c r="H736" s="3">
        <f t="shared" si="90"/>
        <v>3.4797490017113519E-2</v>
      </c>
      <c r="I736" s="3">
        <f t="shared" si="91"/>
        <v>6.0513596963907013E-3</v>
      </c>
      <c r="J736" s="13">
        <v>-0.37</v>
      </c>
      <c r="K736" s="13">
        <v>-0.31</v>
      </c>
      <c r="L736" s="13">
        <v>-0.52</v>
      </c>
      <c r="M736" s="20">
        <v>2E-3</v>
      </c>
      <c r="N736" s="20">
        <f t="shared" si="92"/>
        <v>-7.7834510678729246E-3</v>
      </c>
      <c r="O736" s="20">
        <f t="shared" si="93"/>
        <v>3.2797490017113518E-2</v>
      </c>
      <c r="P736" s="20">
        <f t="shared" si="94"/>
        <v>-2.2618556701030856E-2</v>
      </c>
      <c r="Q736" s="20">
        <f t="shared" si="95"/>
        <v>4.0513596963907012E-3</v>
      </c>
    </row>
    <row r="737" spans="1:17" x14ac:dyDescent="0.2">
      <c r="A737" s="1">
        <v>45631</v>
      </c>
      <c r="B737">
        <v>242.72</v>
      </c>
      <c r="C737">
        <v>62.46</v>
      </c>
      <c r="D737">
        <v>145.05000000000001</v>
      </c>
      <c r="E737" s="2">
        <v>6075.11</v>
      </c>
      <c r="F737" s="3">
        <f t="shared" si="88"/>
        <v>8.5178875638842744E-3</v>
      </c>
      <c r="G737" s="3">
        <f t="shared" si="89"/>
        <v>1.1497975708502084E-2</v>
      </c>
      <c r="H737" s="3">
        <f t="shared" si="90"/>
        <v>-4.8235942668128917E-4</v>
      </c>
      <c r="I737" s="3">
        <f t="shared" si="91"/>
        <v>-1.8697147288503357E-3</v>
      </c>
      <c r="J737" s="15">
        <v>1.07</v>
      </c>
      <c r="K737" s="13">
        <v>-0.08</v>
      </c>
      <c r="L737" s="13">
        <v>-0.16</v>
      </c>
      <c r="M737" s="20">
        <v>2E-3</v>
      </c>
      <c r="N737" s="20">
        <f t="shared" si="92"/>
        <v>6.5178875638842743E-3</v>
      </c>
      <c r="O737" s="20">
        <f t="shared" si="93"/>
        <v>-2.4823594266812892E-3</v>
      </c>
      <c r="P737" s="20">
        <f t="shared" si="94"/>
        <v>9.4979757085020839E-3</v>
      </c>
      <c r="Q737" s="20">
        <f t="shared" si="95"/>
        <v>-3.8697147288503358E-3</v>
      </c>
    </row>
    <row r="738" spans="1:17" x14ac:dyDescent="0.2">
      <c r="A738" s="1">
        <v>45632</v>
      </c>
      <c r="B738">
        <v>244.58</v>
      </c>
      <c r="C738">
        <v>62.07</v>
      </c>
      <c r="D738">
        <v>142.43</v>
      </c>
      <c r="E738" s="2">
        <v>6090.27</v>
      </c>
      <c r="F738" s="3">
        <f t="shared" si="88"/>
        <v>7.6631509558340305E-3</v>
      </c>
      <c r="G738" s="3">
        <f t="shared" si="89"/>
        <v>-6.2439961575407876E-3</v>
      </c>
      <c r="H738" s="3">
        <f t="shared" si="90"/>
        <v>-1.8062736987245809E-2</v>
      </c>
      <c r="I738" s="3">
        <f t="shared" si="91"/>
        <v>2.4954280663231909E-3</v>
      </c>
      <c r="J738" s="18">
        <v>1.2</v>
      </c>
      <c r="K738" s="13">
        <v>-0.38</v>
      </c>
      <c r="L738" s="12">
        <v>0.34</v>
      </c>
      <c r="M738" s="20">
        <v>2E-3</v>
      </c>
      <c r="N738" s="20">
        <f t="shared" si="92"/>
        <v>5.6631509558340305E-3</v>
      </c>
      <c r="O738" s="20">
        <f t="shared" si="93"/>
        <v>-2.0062736987245811E-2</v>
      </c>
      <c r="P738" s="20">
        <f t="shared" si="94"/>
        <v>-8.2439961575407877E-3</v>
      </c>
      <c r="Q738" s="20">
        <f t="shared" si="95"/>
        <v>4.9542806632319088E-4</v>
      </c>
    </row>
    <row r="739" spans="1:17" x14ac:dyDescent="0.2">
      <c r="A739" s="1">
        <v>45635</v>
      </c>
      <c r="B739">
        <v>241.07</v>
      </c>
      <c r="C739">
        <v>62.14</v>
      </c>
      <c r="D739">
        <v>138.80000000000001</v>
      </c>
      <c r="E739" s="2">
        <v>6052.85</v>
      </c>
      <c r="F739" s="3">
        <f t="shared" si="88"/>
        <v>-1.4351132553765744E-2</v>
      </c>
      <c r="G739" s="3">
        <f t="shared" si="89"/>
        <v>1.1277589817948463E-3</v>
      </c>
      <c r="H739" s="3">
        <f t="shared" si="90"/>
        <v>-2.5486203749210068E-2</v>
      </c>
      <c r="I739" s="3">
        <f t="shared" si="91"/>
        <v>-6.1442267748391677E-3</v>
      </c>
      <c r="J739" s="12">
        <v>0.37</v>
      </c>
      <c r="K739" s="11">
        <v>0</v>
      </c>
      <c r="L739" s="13">
        <v>-0.19</v>
      </c>
      <c r="M739" s="20">
        <v>2E-3</v>
      </c>
      <c r="N739" s="20">
        <f t="shared" si="92"/>
        <v>-1.6351132553765746E-2</v>
      </c>
      <c r="O739" s="20">
        <f t="shared" si="93"/>
        <v>-2.748620374921007E-2</v>
      </c>
      <c r="P739" s="20">
        <f t="shared" si="94"/>
        <v>-8.7224101820515369E-4</v>
      </c>
      <c r="Q739" s="20">
        <f t="shared" si="95"/>
        <v>-8.1442267748391677E-3</v>
      </c>
    </row>
    <row r="740" spans="1:17" x14ac:dyDescent="0.2">
      <c r="A740" s="1">
        <v>45636</v>
      </c>
      <c r="B740">
        <v>240.13</v>
      </c>
      <c r="C740">
        <v>62.45</v>
      </c>
      <c r="D740">
        <v>135.06</v>
      </c>
      <c r="E740" s="2">
        <v>6034.91</v>
      </c>
      <c r="F740" s="3">
        <f t="shared" si="88"/>
        <v>-3.8992823661176956E-3</v>
      </c>
      <c r="G740" s="3">
        <f t="shared" si="89"/>
        <v>4.9887351142581249E-3</v>
      </c>
      <c r="H740" s="3">
        <f t="shared" si="90"/>
        <v>-2.6945244956772418E-2</v>
      </c>
      <c r="I740" s="3">
        <f t="shared" si="91"/>
        <v>-2.9638930421207466E-3</v>
      </c>
      <c r="J740" s="15">
        <v>1.07</v>
      </c>
      <c r="K740" s="13">
        <v>-0.31</v>
      </c>
      <c r="L740" s="13">
        <v>-0.18</v>
      </c>
      <c r="M740" s="20">
        <v>2E-3</v>
      </c>
      <c r="N740" s="20">
        <f t="shared" si="92"/>
        <v>-5.8992823661176957E-3</v>
      </c>
      <c r="O740" s="20">
        <f t="shared" si="93"/>
        <v>-2.894524495677242E-2</v>
      </c>
      <c r="P740" s="20">
        <f t="shared" si="94"/>
        <v>2.9887351142581248E-3</v>
      </c>
      <c r="Q740" s="20">
        <f t="shared" si="95"/>
        <v>-4.9638930421207466E-3</v>
      </c>
    </row>
    <row r="741" spans="1:17" x14ac:dyDescent="0.2">
      <c r="A741" s="1">
        <v>45637</v>
      </c>
      <c r="B741">
        <v>240.8</v>
      </c>
      <c r="C741">
        <v>62.18</v>
      </c>
      <c r="D741">
        <v>139.30000000000001</v>
      </c>
      <c r="E741" s="2">
        <v>6084.19</v>
      </c>
      <c r="F741" s="3">
        <f t="shared" si="88"/>
        <v>2.7901553325282435E-3</v>
      </c>
      <c r="G741" s="3">
        <f t="shared" si="89"/>
        <v>-4.323458767013677E-3</v>
      </c>
      <c r="H741" s="3">
        <f t="shared" si="90"/>
        <v>3.1393454760847206E-2</v>
      </c>
      <c r="I741" s="3">
        <f t="shared" si="91"/>
        <v>8.1658218598121834E-3</v>
      </c>
      <c r="J741" s="12">
        <v>0.12</v>
      </c>
      <c r="K741" s="11">
        <v>0.3</v>
      </c>
      <c r="L741" s="14">
        <v>-0.3</v>
      </c>
      <c r="M741" s="20">
        <v>2E-3</v>
      </c>
      <c r="N741" s="20">
        <f t="shared" si="92"/>
        <v>7.9015533252824351E-4</v>
      </c>
      <c r="O741" s="20">
        <f t="shared" si="93"/>
        <v>2.9393454760847204E-2</v>
      </c>
      <c r="P741" s="20">
        <f t="shared" si="94"/>
        <v>-6.3234587670136771E-3</v>
      </c>
      <c r="Q741" s="20">
        <f t="shared" si="95"/>
        <v>6.1658218598121834E-3</v>
      </c>
    </row>
    <row r="742" spans="1:17" x14ac:dyDescent="0.2">
      <c r="A742" s="1">
        <v>45638</v>
      </c>
      <c r="B742">
        <v>238.82</v>
      </c>
      <c r="C742">
        <v>63.37</v>
      </c>
      <c r="D742">
        <v>137.33000000000001</v>
      </c>
      <c r="E742" s="2">
        <v>6051.25</v>
      </c>
      <c r="F742" s="3">
        <f t="shared" si="88"/>
        <v>-8.2225913621263302E-3</v>
      </c>
      <c r="G742" s="3">
        <f t="shared" si="89"/>
        <v>1.9137986490832981E-2</v>
      </c>
      <c r="H742" s="3">
        <f t="shared" si="90"/>
        <v>-1.4142139267767417E-2</v>
      </c>
      <c r="I742" s="3">
        <f t="shared" si="91"/>
        <v>-5.4140321061636465E-3</v>
      </c>
      <c r="J742" s="12">
        <v>0.87</v>
      </c>
      <c r="K742" s="12">
        <v>0.18</v>
      </c>
      <c r="L742" s="13">
        <v>-0.88</v>
      </c>
      <c r="M742" s="20">
        <v>2E-3</v>
      </c>
      <c r="N742" s="20">
        <f t="shared" si="92"/>
        <v>-1.022259136212633E-2</v>
      </c>
      <c r="O742" s="20">
        <f t="shared" si="93"/>
        <v>-1.6142139267767419E-2</v>
      </c>
      <c r="P742" s="20">
        <f t="shared" si="94"/>
        <v>1.7137986490832979E-2</v>
      </c>
      <c r="Q742" s="20">
        <f t="shared" si="95"/>
        <v>-7.4140321061636465E-3</v>
      </c>
    </row>
    <row r="743" spans="1:17" x14ac:dyDescent="0.2">
      <c r="A743" s="1">
        <v>45639</v>
      </c>
      <c r="B743">
        <v>237.25</v>
      </c>
      <c r="C743">
        <v>62.66</v>
      </c>
      <c r="D743">
        <v>134.24</v>
      </c>
      <c r="E743" s="2">
        <v>6051.09</v>
      </c>
      <c r="F743" s="3">
        <f t="shared" si="88"/>
        <v>-6.5739887781592898E-3</v>
      </c>
      <c r="G743" s="3">
        <f t="shared" si="89"/>
        <v>-1.1204039766451013E-2</v>
      </c>
      <c r="H743" s="3">
        <f t="shared" si="90"/>
        <v>-2.250054612976049E-2</v>
      </c>
      <c r="I743" s="3">
        <f t="shared" si="91"/>
        <v>-2.6440818012729572E-5</v>
      </c>
      <c r="J743" s="13">
        <v>-0.31</v>
      </c>
      <c r="K743" s="12">
        <v>0.02</v>
      </c>
      <c r="L743" s="12">
        <v>0.24</v>
      </c>
      <c r="M743" s="20">
        <v>2E-3</v>
      </c>
      <c r="N743" s="20">
        <f t="shared" si="92"/>
        <v>-8.5739887781592899E-3</v>
      </c>
      <c r="O743" s="20">
        <f t="shared" si="93"/>
        <v>-2.4500546129760492E-2</v>
      </c>
      <c r="P743" s="20">
        <f t="shared" si="94"/>
        <v>-1.3204039766451013E-2</v>
      </c>
      <c r="Q743" s="20">
        <f t="shared" si="95"/>
        <v>-2.0264408180127296E-3</v>
      </c>
    </row>
    <row r="744" spans="1:17" x14ac:dyDescent="0.2">
      <c r="A744" s="1">
        <v>45642</v>
      </c>
      <c r="B744">
        <v>236.89</v>
      </c>
      <c r="C744">
        <v>62.09</v>
      </c>
      <c r="D744">
        <v>131.99</v>
      </c>
      <c r="E744" s="2">
        <v>6074.08</v>
      </c>
      <c r="F744" s="3">
        <f t="shared" si="88"/>
        <v>-1.5173867228662763E-3</v>
      </c>
      <c r="G744" s="3">
        <f t="shared" si="89"/>
        <v>-9.0967124162143476E-3</v>
      </c>
      <c r="H744" s="3">
        <f t="shared" si="90"/>
        <v>-1.6761025029797372E-2</v>
      </c>
      <c r="I744" s="3">
        <f t="shared" si="91"/>
        <v>3.7993154952247199E-3</v>
      </c>
      <c r="J744" s="12">
        <v>0.66</v>
      </c>
      <c r="K744" s="13">
        <v>-0.79</v>
      </c>
      <c r="L744" s="13">
        <v>-0.01</v>
      </c>
      <c r="M744" s="20">
        <v>2E-3</v>
      </c>
      <c r="N744" s="20">
        <f t="shared" si="92"/>
        <v>-3.5173867228662763E-3</v>
      </c>
      <c r="O744" s="20">
        <f t="shared" si="93"/>
        <v>-1.8761025029797374E-2</v>
      </c>
      <c r="P744" s="20">
        <f t="shared" si="94"/>
        <v>-1.1096712416214348E-2</v>
      </c>
      <c r="Q744" s="20">
        <f t="shared" si="95"/>
        <v>1.7993154952247199E-3</v>
      </c>
    </row>
    <row r="745" spans="1:17" x14ac:dyDescent="0.2">
      <c r="A745" s="1">
        <v>45643</v>
      </c>
      <c r="B745">
        <v>235.68</v>
      </c>
      <c r="C745">
        <v>62.94</v>
      </c>
      <c r="D745">
        <v>130.38</v>
      </c>
      <c r="E745" s="2">
        <v>6050.61</v>
      </c>
      <c r="F745" s="3">
        <f t="shared" si="88"/>
        <v>-5.1078559669043289E-3</v>
      </c>
      <c r="G745" s="3">
        <f t="shared" si="89"/>
        <v>1.3689805121597676E-2</v>
      </c>
      <c r="H745" s="3">
        <f t="shared" si="90"/>
        <v>-1.2197893779831936E-2</v>
      </c>
      <c r="I745" s="3">
        <f t="shared" si="91"/>
        <v>-3.8639596449174807E-3</v>
      </c>
      <c r="J745" s="15">
        <v>1.34</v>
      </c>
      <c r="K745" s="13">
        <v>-0.52</v>
      </c>
      <c r="L745" s="12">
        <v>0.17</v>
      </c>
      <c r="M745" s="20">
        <v>2E-3</v>
      </c>
      <c r="N745" s="20">
        <f t="shared" si="92"/>
        <v>-7.1078559669043289E-3</v>
      </c>
      <c r="O745" s="20">
        <f t="shared" si="93"/>
        <v>-1.4197893779831936E-2</v>
      </c>
      <c r="P745" s="20">
        <f t="shared" si="94"/>
        <v>1.1689805121597676E-2</v>
      </c>
      <c r="Q745" s="20">
        <f t="shared" si="95"/>
        <v>-5.8639596449174807E-3</v>
      </c>
    </row>
    <row r="746" spans="1:17" x14ac:dyDescent="0.2">
      <c r="A746" s="1">
        <v>45644</v>
      </c>
      <c r="B746">
        <v>227.78</v>
      </c>
      <c r="C746">
        <v>62.39</v>
      </c>
      <c r="D746">
        <v>128.9</v>
      </c>
      <c r="E746" s="2">
        <v>5872.16</v>
      </c>
      <c r="F746" s="3">
        <f t="shared" si="88"/>
        <v>-3.3520027155465093E-2</v>
      </c>
      <c r="G746" s="3">
        <f t="shared" si="89"/>
        <v>-8.7384810931044887E-3</v>
      </c>
      <c r="H746" s="3">
        <f t="shared" si="90"/>
        <v>-1.1351434269059602E-2</v>
      </c>
      <c r="I746" s="3">
        <f t="shared" si="91"/>
        <v>-2.9492894104891865E-2</v>
      </c>
      <c r="J746" s="11">
        <v>0.2</v>
      </c>
      <c r="K746" s="11">
        <v>0.3</v>
      </c>
      <c r="L746" s="12">
        <v>0.16</v>
      </c>
      <c r="M746" s="20">
        <v>2E-3</v>
      </c>
      <c r="N746" s="20">
        <f t="shared" si="92"/>
        <v>-3.5520027155465095E-2</v>
      </c>
      <c r="O746" s="20">
        <f t="shared" si="93"/>
        <v>-1.3351434269059602E-2</v>
      </c>
      <c r="P746" s="20">
        <f t="shared" si="94"/>
        <v>-1.0738481093104489E-2</v>
      </c>
      <c r="Q746" s="20">
        <f t="shared" si="95"/>
        <v>-3.1492894104891866E-2</v>
      </c>
    </row>
    <row r="747" spans="1:17" x14ac:dyDescent="0.2">
      <c r="A747" s="1">
        <v>45645</v>
      </c>
      <c r="B747">
        <v>230.34</v>
      </c>
      <c r="C747">
        <v>61.99</v>
      </c>
      <c r="D747">
        <v>130.66999999999999</v>
      </c>
      <c r="E747" s="2">
        <v>5867.08</v>
      </c>
      <c r="F747" s="3">
        <f t="shared" si="88"/>
        <v>1.1238914742295103E-2</v>
      </c>
      <c r="G747" s="3">
        <f t="shared" si="89"/>
        <v>-6.4112838595928867E-3</v>
      </c>
      <c r="H747" s="3">
        <f t="shared" si="90"/>
        <v>1.3731574864235707E-2</v>
      </c>
      <c r="I747" s="3">
        <f t="shared" si="91"/>
        <v>-8.6509904362275236E-4</v>
      </c>
      <c r="J747" s="15">
        <v>1.36</v>
      </c>
      <c r="K747" s="13">
        <v>-0.33</v>
      </c>
      <c r="L747" s="12">
        <v>0.56000000000000005</v>
      </c>
      <c r="M747" s="20">
        <v>2E-3</v>
      </c>
      <c r="N747" s="20">
        <f t="shared" si="92"/>
        <v>9.238914742295103E-3</v>
      </c>
      <c r="O747" s="20">
        <f t="shared" si="93"/>
        <v>1.1731574864235707E-2</v>
      </c>
      <c r="P747" s="20">
        <f t="shared" si="94"/>
        <v>-8.4112838595928868E-3</v>
      </c>
      <c r="Q747" s="20">
        <f t="shared" si="95"/>
        <v>-2.8650990436227524E-3</v>
      </c>
    </row>
    <row r="748" spans="1:17" x14ac:dyDescent="0.2">
      <c r="A748" s="1">
        <v>45646</v>
      </c>
      <c r="B748">
        <v>234.93</v>
      </c>
      <c r="C748">
        <v>62.09</v>
      </c>
      <c r="D748">
        <v>134.69</v>
      </c>
      <c r="E748" s="2">
        <v>5930.85</v>
      </c>
      <c r="F748" s="3">
        <f t="shared" si="88"/>
        <v>1.9927064339671841E-2</v>
      </c>
      <c r="G748" s="3">
        <f t="shared" si="89"/>
        <v>1.6131634134537443E-3</v>
      </c>
      <c r="H748" s="3">
        <f t="shared" si="90"/>
        <v>3.076452131323193E-2</v>
      </c>
      <c r="I748" s="3">
        <f t="shared" si="91"/>
        <v>1.0869120584686254E-2</v>
      </c>
      <c r="J748" s="15">
        <v>1.48</v>
      </c>
      <c r="K748" s="12">
        <v>0.45</v>
      </c>
      <c r="L748" s="14">
        <v>-0.2</v>
      </c>
      <c r="M748" s="20">
        <v>1.2999999999999999E-2</v>
      </c>
      <c r="N748" s="20">
        <f t="shared" si="92"/>
        <v>6.9270643396718411E-3</v>
      </c>
      <c r="O748" s="20">
        <f t="shared" si="93"/>
        <v>1.7764521313231932E-2</v>
      </c>
      <c r="P748" s="20">
        <f t="shared" si="94"/>
        <v>-1.1386836586546255E-2</v>
      </c>
      <c r="Q748" s="20">
        <f t="shared" si="95"/>
        <v>-2.1308794153137457E-3</v>
      </c>
    </row>
    <row r="749" spans="1:17" x14ac:dyDescent="0.2">
      <c r="A749" s="1">
        <v>45649</v>
      </c>
      <c r="B749">
        <v>235.71</v>
      </c>
      <c r="C749">
        <v>61.92</v>
      </c>
      <c r="D749">
        <v>139.66</v>
      </c>
      <c r="E749" s="2">
        <v>5974.07</v>
      </c>
      <c r="F749" s="3">
        <f t="shared" si="88"/>
        <v>3.3201379134211173E-3</v>
      </c>
      <c r="G749" s="3">
        <f t="shared" si="89"/>
        <v>-2.7379610243195573E-3</v>
      </c>
      <c r="H749" s="3">
        <f t="shared" si="90"/>
        <v>3.6899547108174335E-2</v>
      </c>
      <c r="I749" s="3">
        <f t="shared" si="91"/>
        <v>7.2873196927927264E-3</v>
      </c>
      <c r="J749" s="11">
        <v>0.1</v>
      </c>
      <c r="K749" s="12">
        <v>0.11</v>
      </c>
      <c r="L749" s="13">
        <v>-0.34</v>
      </c>
      <c r="M749" s="20">
        <v>1.2999999999999999E-2</v>
      </c>
      <c r="N749" s="20">
        <f t="shared" si="92"/>
        <v>-9.6798620865788821E-3</v>
      </c>
      <c r="O749" s="20">
        <f t="shared" si="93"/>
        <v>2.3899547108174338E-2</v>
      </c>
      <c r="P749" s="20">
        <f t="shared" si="94"/>
        <v>-1.5737961024319555E-2</v>
      </c>
      <c r="Q749" s="20">
        <f t="shared" si="95"/>
        <v>-5.712680307207273E-3</v>
      </c>
    </row>
    <row r="750" spans="1:17" x14ac:dyDescent="0.2">
      <c r="A750" s="1">
        <v>45650</v>
      </c>
      <c r="B750">
        <v>239.59</v>
      </c>
      <c r="C750">
        <v>62.38</v>
      </c>
      <c r="D750">
        <v>140.21</v>
      </c>
      <c r="E750" s="2">
        <v>6040.04</v>
      </c>
      <c r="F750" s="3">
        <f t="shared" si="88"/>
        <v>1.6460905349794164E-2</v>
      </c>
      <c r="G750" s="3">
        <f t="shared" si="89"/>
        <v>7.4289405684755394E-3</v>
      </c>
      <c r="H750" s="3">
        <f t="shared" si="90"/>
        <v>3.9381354718603934E-3</v>
      </c>
      <c r="I750" s="3">
        <f t="shared" si="91"/>
        <v>1.1042722967758989E-2</v>
      </c>
      <c r="J750" s="13">
        <v>-0.03</v>
      </c>
      <c r="K750" s="13">
        <v>-0.43</v>
      </c>
      <c r="L750" s="12">
        <v>0.64</v>
      </c>
      <c r="M750" s="20">
        <v>1.2999999999999999E-2</v>
      </c>
      <c r="N750" s="20">
        <f t="shared" si="92"/>
        <v>3.4609053497941644E-3</v>
      </c>
      <c r="O750" s="20">
        <f t="shared" si="93"/>
        <v>-9.061864528139606E-3</v>
      </c>
      <c r="P750" s="20">
        <f t="shared" si="94"/>
        <v>-5.57105943152446E-3</v>
      </c>
      <c r="Q750" s="20">
        <f t="shared" si="95"/>
        <v>-1.9572770322410105E-3</v>
      </c>
    </row>
    <row r="751" spans="1:17" x14ac:dyDescent="0.2">
      <c r="A751" s="1">
        <v>45652</v>
      </c>
      <c r="B751">
        <v>240.41</v>
      </c>
      <c r="C751">
        <v>62.11</v>
      </c>
      <c r="D751">
        <v>139.91999999999999</v>
      </c>
      <c r="E751" s="2">
        <v>6037.59</v>
      </c>
      <c r="F751" s="3">
        <f t="shared" si="88"/>
        <v>3.4225134604950469E-3</v>
      </c>
      <c r="G751" s="3">
        <f t="shared" si="89"/>
        <v>-4.3283103558833247E-3</v>
      </c>
      <c r="H751" s="3">
        <f t="shared" si="90"/>
        <v>-2.0683260823052274E-3</v>
      </c>
      <c r="I751" s="3">
        <f t="shared" si="91"/>
        <v>-4.0562645280495246E-4</v>
      </c>
      <c r="J751" s="13">
        <v>-0.88</v>
      </c>
      <c r="K751" s="12">
        <v>0.43</v>
      </c>
      <c r="L751" s="13">
        <v>-0.22</v>
      </c>
      <c r="M751" s="20">
        <v>1.2999999999999999E-2</v>
      </c>
      <c r="N751" s="20">
        <f t="shared" si="92"/>
        <v>-9.5774865395049525E-3</v>
      </c>
      <c r="O751" s="20">
        <f t="shared" si="93"/>
        <v>-1.5068326082305227E-2</v>
      </c>
      <c r="P751" s="20">
        <f t="shared" si="94"/>
        <v>-1.7328310355883322E-2</v>
      </c>
      <c r="Q751" s="20">
        <f t="shared" si="95"/>
        <v>-1.3405626452804952E-2</v>
      </c>
    </row>
    <row r="752" spans="1:17" x14ac:dyDescent="0.2">
      <c r="A752" s="1">
        <v>45653</v>
      </c>
      <c r="B752">
        <v>238.46</v>
      </c>
      <c r="C752">
        <v>61.99</v>
      </c>
      <c r="D752">
        <v>137</v>
      </c>
      <c r="E752" s="2">
        <v>5970.84</v>
      </c>
      <c r="F752" s="3">
        <f t="shared" si="88"/>
        <v>-8.1111434632502588E-3</v>
      </c>
      <c r="G752" s="3">
        <f t="shared" si="89"/>
        <v>-1.9320560296248734E-3</v>
      </c>
      <c r="H752" s="3">
        <f t="shared" si="90"/>
        <v>-2.0869068038879224E-2</v>
      </c>
      <c r="I752" s="3">
        <f t="shared" si="91"/>
        <v>-1.1055735815118317E-2</v>
      </c>
      <c r="J752" s="16">
        <v>-1.3</v>
      </c>
      <c r="K752" s="13">
        <v>-0.37</v>
      </c>
      <c r="L752" s="12">
        <v>0.25</v>
      </c>
      <c r="M752" s="20">
        <v>1.2999999999999999E-2</v>
      </c>
      <c r="N752" s="20">
        <f t="shared" si="92"/>
        <v>-2.1111143463250256E-2</v>
      </c>
      <c r="O752" s="20">
        <f t="shared" si="93"/>
        <v>-3.3869068038879221E-2</v>
      </c>
      <c r="P752" s="20">
        <f t="shared" si="94"/>
        <v>-1.4932056029624873E-2</v>
      </c>
      <c r="Q752" s="20">
        <f t="shared" si="95"/>
        <v>-2.4055735815118315E-2</v>
      </c>
    </row>
    <row r="753" spans="1:17" x14ac:dyDescent="0.2">
      <c r="A753" s="1">
        <v>45656</v>
      </c>
      <c r="B753">
        <v>236.63</v>
      </c>
      <c r="C753">
        <v>61.58</v>
      </c>
      <c r="D753">
        <v>137.47999999999999</v>
      </c>
      <c r="E753" s="2">
        <v>5906.94</v>
      </c>
      <c r="F753" s="3">
        <f t="shared" si="88"/>
        <v>-7.6742430596327127E-3</v>
      </c>
      <c r="G753" s="3">
        <f t="shared" si="89"/>
        <v>-6.6139699951606179E-3</v>
      </c>
      <c r="H753" s="3">
        <f t="shared" si="90"/>
        <v>3.5036496350364654E-3</v>
      </c>
      <c r="I753" s="3">
        <f t="shared" si="91"/>
        <v>-1.0702011777237508E-2</v>
      </c>
      <c r="J753" s="13">
        <v>-0.23</v>
      </c>
      <c r="K753" s="12">
        <v>0.21</v>
      </c>
      <c r="L753" s="12">
        <v>0.22</v>
      </c>
      <c r="M753" s="20">
        <v>1.2999999999999999E-2</v>
      </c>
      <c r="N753" s="20">
        <f t="shared" si="92"/>
        <v>-2.067424305963271E-2</v>
      </c>
      <c r="O753" s="20">
        <f t="shared" si="93"/>
        <v>-9.496350364963534E-3</v>
      </c>
      <c r="P753" s="20">
        <f t="shared" si="94"/>
        <v>-1.9613969995160616E-2</v>
      </c>
      <c r="Q753" s="20">
        <f t="shared" si="95"/>
        <v>-2.3702011777237506E-2</v>
      </c>
    </row>
    <row r="754" spans="1:17" x14ac:dyDescent="0.2">
      <c r="J754" s="18">
        <v>1.2</v>
      </c>
      <c r="K754" s="12">
        <v>0.09</v>
      </c>
      <c r="L754" s="12">
        <v>0.11</v>
      </c>
      <c r="M754" s="20">
        <v>1.2999999999999999E-2</v>
      </c>
      <c r="N754" s="20"/>
      <c r="O754" s="20"/>
      <c r="P754" s="20"/>
      <c r="Q754" s="20"/>
    </row>
    <row r="755" spans="1:17" x14ac:dyDescent="0.2">
      <c r="J755" s="12">
        <v>0.27</v>
      </c>
      <c r="K755" s="11">
        <v>0.3</v>
      </c>
      <c r="L755" s="13">
        <v>-0.21</v>
      </c>
      <c r="M755" s="20">
        <v>1.2999999999999999E-2</v>
      </c>
      <c r="N755" s="20"/>
      <c r="O755" s="20"/>
      <c r="P755" s="20"/>
      <c r="Q755" s="20"/>
    </row>
    <row r="756" spans="1:17" x14ac:dyDescent="0.2">
      <c r="J756" s="13">
        <v>-0.04</v>
      </c>
      <c r="K756" s="11">
        <v>0.2</v>
      </c>
      <c r="L756" s="12">
        <v>0.01</v>
      </c>
      <c r="M756" s="20">
        <v>1.2999999999999999E-2</v>
      </c>
      <c r="N756" s="20"/>
      <c r="O756" s="20"/>
      <c r="P756" s="20"/>
      <c r="Q756" s="20"/>
    </row>
    <row r="757" spans="1:17" x14ac:dyDescent="0.2">
      <c r="J757" s="13">
        <v>-0.28000000000000003</v>
      </c>
      <c r="K757" s="12">
        <v>0.04</v>
      </c>
      <c r="L757" s="12">
        <v>0.14000000000000001</v>
      </c>
      <c r="M757" s="20">
        <v>1.2999999999999999E-2</v>
      </c>
      <c r="N757" s="20"/>
      <c r="O757" s="20"/>
      <c r="P757" s="20"/>
      <c r="Q757" s="20"/>
    </row>
    <row r="758" spans="1:17" x14ac:dyDescent="0.2">
      <c r="J758" s="12">
        <v>0.25</v>
      </c>
      <c r="K758" s="12">
        <v>0.17</v>
      </c>
      <c r="L758" s="12">
        <v>0.28999999999999998</v>
      </c>
      <c r="M758" s="20">
        <v>1.2999999999999999E-2</v>
      </c>
      <c r="N758" s="20"/>
      <c r="O758" s="20"/>
      <c r="P758" s="20"/>
      <c r="Q758" s="20"/>
    </row>
    <row r="759" spans="1:17" x14ac:dyDescent="0.2">
      <c r="J759" s="13">
        <v>-0.98</v>
      </c>
      <c r="K759" s="14">
        <v>-0.1</v>
      </c>
      <c r="L759" s="13">
        <v>-0.08</v>
      </c>
      <c r="M759" s="20">
        <v>1.2999999999999999E-2</v>
      </c>
      <c r="N759" s="20"/>
      <c r="O759" s="20"/>
      <c r="P759" s="20"/>
      <c r="Q759" s="20"/>
    </row>
    <row r="760" spans="1:17" x14ac:dyDescent="0.2">
      <c r="J760" s="12">
        <v>0.91</v>
      </c>
      <c r="K760" s="13">
        <v>-0.16</v>
      </c>
      <c r="L760" s="12">
        <v>0.39</v>
      </c>
      <c r="M760" s="20">
        <v>1.2999999999999999E-2</v>
      </c>
      <c r="N760" s="20"/>
      <c r="O760" s="20"/>
      <c r="P760" s="20"/>
      <c r="Q760" s="20"/>
    </row>
    <row r="761" spans="1:17" x14ac:dyDescent="0.2">
      <c r="J761" s="12">
        <v>0.71</v>
      </c>
      <c r="K761" s="13">
        <v>-0.35</v>
      </c>
      <c r="L761" s="12">
        <v>0.05</v>
      </c>
      <c r="M761" s="20">
        <v>1.2999999999999999E-2</v>
      </c>
      <c r="N761" s="20"/>
      <c r="O761" s="20"/>
      <c r="P761" s="20"/>
      <c r="Q761" s="20"/>
    </row>
    <row r="762" spans="1:17" x14ac:dyDescent="0.2">
      <c r="J762" s="12">
        <v>0.04</v>
      </c>
      <c r="K762" s="12">
        <v>0.24</v>
      </c>
      <c r="L762" s="12">
        <v>0.12</v>
      </c>
      <c r="M762" s="20">
        <v>1.2999999999999999E-2</v>
      </c>
      <c r="N762" s="20"/>
      <c r="O762" s="20"/>
      <c r="P762" s="20"/>
      <c r="Q762" s="20"/>
    </row>
    <row r="763" spans="1:17" x14ac:dyDescent="0.2">
      <c r="J763" s="12">
        <v>0.19</v>
      </c>
      <c r="K763" s="13">
        <v>-0.26</v>
      </c>
      <c r="L763" s="12">
        <v>0.31</v>
      </c>
      <c r="M763" s="20">
        <v>1.2999999999999999E-2</v>
      </c>
      <c r="N763" s="20"/>
      <c r="O763" s="20"/>
      <c r="P763" s="20"/>
      <c r="Q763" s="20"/>
    </row>
    <row r="764" spans="1:17" x14ac:dyDescent="0.2">
      <c r="J764" s="12">
        <v>0.16</v>
      </c>
      <c r="K764" s="13">
        <v>-0.18</v>
      </c>
      <c r="L764" s="11">
        <v>0</v>
      </c>
      <c r="M764" s="20">
        <v>1.2999999999999999E-2</v>
      </c>
      <c r="N764" s="20"/>
      <c r="O764" s="20"/>
      <c r="P764" s="20"/>
      <c r="Q764" s="20"/>
    </row>
    <row r="765" spans="1:17" x14ac:dyDescent="0.2">
      <c r="J765" s="12">
        <v>0.59</v>
      </c>
      <c r="K765" s="13">
        <v>-0.49</v>
      </c>
      <c r="L765" s="13">
        <v>-0.25</v>
      </c>
      <c r="M765" s="20">
        <v>1.2999999999999999E-2</v>
      </c>
      <c r="N765" s="20"/>
      <c r="O765" s="20"/>
      <c r="P765" s="20"/>
      <c r="Q765" s="20"/>
    </row>
    <row r="766" spans="1:17" x14ac:dyDescent="0.2">
      <c r="J766" s="12">
        <v>0.53</v>
      </c>
      <c r="K766" s="13">
        <v>-0.76</v>
      </c>
      <c r="L766" s="13">
        <v>-0.56000000000000005</v>
      </c>
      <c r="M766" s="20">
        <v>1.2999999999999999E-2</v>
      </c>
      <c r="N766" s="20"/>
      <c r="O766" s="20"/>
      <c r="P766" s="20"/>
      <c r="Q766" s="20"/>
    </row>
    <row r="767" spans="1:17" x14ac:dyDescent="0.2">
      <c r="J767" s="13">
        <v>-0.83</v>
      </c>
      <c r="K767" s="12">
        <v>0.14000000000000001</v>
      </c>
      <c r="L767" s="13">
        <v>-0.66</v>
      </c>
      <c r="M767" s="20">
        <v>1.2999999999999999E-2</v>
      </c>
      <c r="N767" s="20"/>
      <c r="O767" s="20"/>
      <c r="P767" s="20"/>
      <c r="Q767" s="20"/>
    </row>
    <row r="768" spans="1:17" x14ac:dyDescent="0.2">
      <c r="J768" s="15">
        <v>1.18</v>
      </c>
      <c r="K768" s="13">
        <v>-0.62</v>
      </c>
      <c r="L768" s="17">
        <v>-1.33</v>
      </c>
      <c r="M768" s="20">
        <v>1.2999999999999999E-2</v>
      </c>
      <c r="N768" s="20"/>
      <c r="O768" s="20"/>
      <c r="P768" s="20"/>
      <c r="Q768" s="20"/>
    </row>
    <row r="769" spans="10:17" x14ac:dyDescent="0.2">
      <c r="J769" s="12">
        <v>0.34</v>
      </c>
      <c r="K769" s="14">
        <v>-0.2</v>
      </c>
      <c r="L769" s="13">
        <v>-0.06</v>
      </c>
      <c r="M769" s="20">
        <v>1.2999999999999999E-2</v>
      </c>
      <c r="N769" s="20"/>
      <c r="O769" s="20"/>
      <c r="P769" s="20"/>
      <c r="Q769" s="20"/>
    </row>
    <row r="770" spans="10:17" x14ac:dyDescent="0.2">
      <c r="J770" s="13">
        <v>-0.27</v>
      </c>
      <c r="K770" s="12">
        <v>0.13</v>
      </c>
      <c r="L770" s="12">
        <v>0.02</v>
      </c>
      <c r="M770" s="20">
        <v>1.2999999999999999E-2</v>
      </c>
      <c r="N770" s="20"/>
      <c r="O770" s="20"/>
      <c r="P770" s="20"/>
      <c r="Q770" s="20"/>
    </row>
    <row r="771" spans="10:17" x14ac:dyDescent="0.2">
      <c r="J771" s="13">
        <v>-0.27</v>
      </c>
      <c r="K771" s="13">
        <v>-0.22</v>
      </c>
      <c r="L771" s="14">
        <v>-0.3</v>
      </c>
      <c r="M771" s="20">
        <v>1.2999999999999999E-2</v>
      </c>
      <c r="N771" s="20"/>
      <c r="O771" s="20"/>
      <c r="P771" s="20"/>
      <c r="Q771" s="20"/>
    </row>
    <row r="772" spans="10:17" x14ac:dyDescent="0.2">
      <c r="J772" s="12">
        <v>0.34</v>
      </c>
      <c r="K772" s="13">
        <v>-0.74</v>
      </c>
      <c r="L772" s="13">
        <v>-0.33</v>
      </c>
      <c r="M772" s="20">
        <v>1.2999999999999999E-2</v>
      </c>
      <c r="N772" s="20"/>
      <c r="O772" s="20"/>
      <c r="P772" s="20"/>
      <c r="Q772" s="20"/>
    </row>
    <row r="773" spans="10:17" x14ac:dyDescent="0.2">
      <c r="J773" s="15">
        <v>1.36</v>
      </c>
      <c r="K773" s="14">
        <v>-0.9</v>
      </c>
      <c r="L773" s="12">
        <v>0.86</v>
      </c>
      <c r="M773" s="20">
        <v>1.2999999999999999E-2</v>
      </c>
      <c r="N773" s="20"/>
      <c r="O773" s="20"/>
      <c r="P773" s="20"/>
      <c r="Q773" s="20"/>
    </row>
    <row r="774" spans="10:17" x14ac:dyDescent="0.2">
      <c r="J774" s="12">
        <v>0.56000000000000005</v>
      </c>
      <c r="K774" s="13">
        <v>-0.32</v>
      </c>
      <c r="L774" s="12">
        <v>0.74</v>
      </c>
      <c r="M774" s="20">
        <v>1.7999999999999999E-2</v>
      </c>
      <c r="N774" s="20"/>
      <c r="O774" s="20"/>
      <c r="P774" s="20"/>
      <c r="Q774" s="20"/>
    </row>
    <row r="775" spans="10:17" x14ac:dyDescent="0.2">
      <c r="J775" s="12">
        <v>0.01</v>
      </c>
      <c r="K775" s="12">
        <v>0.31</v>
      </c>
      <c r="L775" s="12">
        <v>0.74</v>
      </c>
      <c r="M775" s="20">
        <v>1.7999999999999999E-2</v>
      </c>
      <c r="N775" s="20"/>
      <c r="O775" s="20"/>
      <c r="P775" s="20"/>
      <c r="Q775" s="20"/>
    </row>
    <row r="776" spans="10:17" x14ac:dyDescent="0.2">
      <c r="J776" s="13">
        <v>-0.44</v>
      </c>
      <c r="K776" s="12">
        <v>0.69</v>
      </c>
      <c r="L776" s="12">
        <v>0.11</v>
      </c>
      <c r="M776" s="20">
        <v>1.7999999999999999E-2</v>
      </c>
      <c r="N776" s="20"/>
      <c r="O776" s="20"/>
      <c r="P776" s="20"/>
      <c r="Q776" s="20"/>
    </row>
    <row r="777" spans="10:17" x14ac:dyDescent="0.2">
      <c r="J777" s="12">
        <v>0.22</v>
      </c>
      <c r="K777" s="12">
        <v>0.19</v>
      </c>
      <c r="L777" s="13">
        <v>-0.22</v>
      </c>
      <c r="M777" s="20">
        <v>1.7999999999999999E-2</v>
      </c>
      <c r="N777" s="20"/>
      <c r="O777" s="20"/>
      <c r="P777" s="20"/>
      <c r="Q777" s="20"/>
    </row>
    <row r="778" spans="10:17" x14ac:dyDescent="0.2">
      <c r="J778" s="13">
        <v>-0.82</v>
      </c>
      <c r="K778" s="13">
        <v>-0.24</v>
      </c>
      <c r="L778" s="13">
        <v>-0.69</v>
      </c>
      <c r="M778" s="20">
        <v>1.7999999999999999E-2</v>
      </c>
      <c r="N778" s="20"/>
      <c r="O778" s="20"/>
      <c r="P778" s="20"/>
      <c r="Q778" s="20"/>
    </row>
    <row r="779" spans="10:17" x14ac:dyDescent="0.2">
      <c r="J779" s="17">
        <v>-2.97</v>
      </c>
      <c r="K779" s="13">
        <v>-0.03</v>
      </c>
      <c r="L779" s="12">
        <v>0.41</v>
      </c>
      <c r="M779" s="20">
        <v>1.7999999999999999E-2</v>
      </c>
      <c r="N779" s="20"/>
      <c r="O779" s="20"/>
      <c r="P779" s="20"/>
      <c r="Q779" s="20"/>
    </row>
    <row r="780" spans="10:17" x14ac:dyDescent="0.2">
      <c r="J780" s="13">
        <v>-0.96</v>
      </c>
      <c r="K780" s="13">
        <v>-0.56999999999999995</v>
      </c>
      <c r="L780" s="12">
        <v>0.64</v>
      </c>
      <c r="M780" s="20">
        <v>1.7999999999999999E-2</v>
      </c>
      <c r="N780" s="20"/>
      <c r="O780" s="20"/>
      <c r="P780" s="20"/>
      <c r="Q780" s="20"/>
    </row>
    <row r="781" spans="10:17" x14ac:dyDescent="0.2">
      <c r="J781" s="15">
        <v>2.1800000000000002</v>
      </c>
      <c r="K781" s="13">
        <v>-0.81</v>
      </c>
      <c r="L781" s="12">
        <v>0.71</v>
      </c>
      <c r="M781" s="20">
        <v>1.7999999999999999E-2</v>
      </c>
      <c r="N781" s="20"/>
      <c r="O781" s="20"/>
      <c r="P781" s="20"/>
      <c r="Q781" s="20"/>
    </row>
    <row r="782" spans="10:17" x14ac:dyDescent="0.2">
      <c r="J782" s="11">
        <v>0.1</v>
      </c>
      <c r="K782" s="12">
        <v>0.42</v>
      </c>
      <c r="L782" s="13">
        <v>-0.93</v>
      </c>
      <c r="M782" s="20">
        <v>1.7999999999999999E-2</v>
      </c>
      <c r="N782" s="20"/>
      <c r="O782" s="20"/>
      <c r="P782" s="20"/>
      <c r="Q782" s="20"/>
    </row>
    <row r="783" spans="10:17" x14ac:dyDescent="0.2">
      <c r="J783" s="13">
        <v>-0.63</v>
      </c>
      <c r="K783" s="13">
        <v>-0.44</v>
      </c>
      <c r="L783" s="12">
        <v>0.51</v>
      </c>
      <c r="M783" s="20">
        <v>1.7999999999999999E-2</v>
      </c>
      <c r="N783" s="20"/>
      <c r="O783" s="20"/>
      <c r="P783" s="20"/>
      <c r="Q783" s="20"/>
    </row>
    <row r="784" spans="10:17" x14ac:dyDescent="0.2">
      <c r="J784" s="17">
        <v>-1.62</v>
      </c>
      <c r="K784" s="12">
        <v>0.57999999999999996</v>
      </c>
      <c r="L784" s="13">
        <v>-0.57999999999999996</v>
      </c>
      <c r="M784" s="20">
        <v>1.7999999999999999E-2</v>
      </c>
      <c r="N784" s="20"/>
      <c r="O784" s="20"/>
      <c r="P784" s="20"/>
      <c r="Q784" s="20"/>
    </row>
    <row r="785" spans="10:17" x14ac:dyDescent="0.2">
      <c r="J785" s="16">
        <v>-1.4</v>
      </c>
      <c r="K785" s="13">
        <v>-0.52</v>
      </c>
      <c r="L785" s="12">
        <v>0.34</v>
      </c>
      <c r="M785" s="20">
        <v>1.7999999999999999E-2</v>
      </c>
      <c r="N785" s="20"/>
      <c r="O785" s="20"/>
      <c r="P785" s="20"/>
      <c r="Q785" s="20"/>
    </row>
    <row r="786" spans="10:17" x14ac:dyDescent="0.2">
      <c r="J786" s="15">
        <v>1.1200000000000001</v>
      </c>
      <c r="K786" s="13">
        <v>-0.38</v>
      </c>
      <c r="L786" s="12">
        <v>0.34</v>
      </c>
      <c r="M786" s="20">
        <v>1.7999999999999999E-2</v>
      </c>
      <c r="N786" s="20"/>
      <c r="O786" s="20"/>
      <c r="P786" s="20"/>
      <c r="Q786" s="20"/>
    </row>
    <row r="787" spans="10:17" x14ac:dyDescent="0.2">
      <c r="J787" s="11">
        <v>0.2</v>
      </c>
      <c r="K787" s="12">
        <v>0.95</v>
      </c>
      <c r="L787" s="13">
        <v>-0.31</v>
      </c>
      <c r="M787" s="20">
        <v>1.7999999999999999E-2</v>
      </c>
      <c r="N787" s="20"/>
      <c r="O787" s="20"/>
      <c r="P787" s="20"/>
      <c r="Q787" s="20"/>
    </row>
    <row r="788" spans="10:17" x14ac:dyDescent="0.2">
      <c r="J788" s="12">
        <v>0.84</v>
      </c>
      <c r="K788" s="12">
        <v>0.32</v>
      </c>
      <c r="L788" s="13">
        <v>-0.16</v>
      </c>
      <c r="M788" s="20">
        <v>1.7999999999999999E-2</v>
      </c>
      <c r="N788" s="20"/>
      <c r="O788" s="20"/>
      <c r="P788" s="20"/>
      <c r="Q788" s="20"/>
    </row>
    <row r="789" spans="10:17" x14ac:dyDescent="0.2">
      <c r="J789" s="12">
        <v>0.73</v>
      </c>
      <c r="K789" s="13">
        <v>-0.44</v>
      </c>
      <c r="L789" s="12">
        <v>7.0000000000000007E-2</v>
      </c>
      <c r="M789" s="20">
        <v>1.7999999999999999E-2</v>
      </c>
      <c r="N789" s="20"/>
      <c r="O789" s="20"/>
      <c r="P789" s="20"/>
      <c r="Q789" s="20"/>
    </row>
    <row r="790" spans="10:17" x14ac:dyDescent="0.2">
      <c r="J790" s="12">
        <v>0.28000000000000003</v>
      </c>
      <c r="K790" s="12">
        <v>0.49</v>
      </c>
      <c r="L790" s="13">
        <v>-0.23</v>
      </c>
      <c r="M790" s="20">
        <v>1.7999999999999999E-2</v>
      </c>
      <c r="N790" s="20"/>
      <c r="O790" s="20"/>
      <c r="P790" s="20"/>
      <c r="Q790" s="20"/>
    </row>
    <row r="791" spans="10:17" x14ac:dyDescent="0.2">
      <c r="J791" s="12">
        <v>0.36</v>
      </c>
      <c r="K791" s="12">
        <v>0.17</v>
      </c>
      <c r="L791" s="14">
        <v>-0.3</v>
      </c>
      <c r="M791" s="20">
        <v>1.7999999999999999E-2</v>
      </c>
      <c r="N791" s="20"/>
      <c r="O791" s="20"/>
      <c r="P791" s="20"/>
      <c r="Q791" s="20"/>
    </row>
    <row r="792" spans="10:17" x14ac:dyDescent="0.2">
      <c r="J792" s="15">
        <v>1.06</v>
      </c>
      <c r="K792" s="14">
        <v>-0.3</v>
      </c>
      <c r="L792" s="12">
        <v>0.59</v>
      </c>
      <c r="M792" s="20">
        <v>1.7999999999999999E-2</v>
      </c>
      <c r="N792" s="20"/>
      <c r="O792" s="20"/>
      <c r="P792" s="20"/>
      <c r="Q792" s="20"/>
    </row>
    <row r="793" spans="10:17" x14ac:dyDescent="0.2">
      <c r="J793" s="15">
        <v>1.01</v>
      </c>
      <c r="K793" s="13">
        <v>-0.38</v>
      </c>
      <c r="L793" s="13">
        <v>-0.15</v>
      </c>
      <c r="M793" s="20">
        <v>1.7999999999999999E-2</v>
      </c>
      <c r="N793" s="20"/>
      <c r="O793" s="20"/>
      <c r="P793" s="20"/>
      <c r="Q793" s="20"/>
    </row>
    <row r="794" spans="10:17" x14ac:dyDescent="0.2">
      <c r="J794" s="15">
        <v>1.01</v>
      </c>
      <c r="K794" s="13">
        <v>-0.09</v>
      </c>
      <c r="L794" s="12">
        <v>0.38</v>
      </c>
      <c r="M794" s="20">
        <v>1.4E-2</v>
      </c>
      <c r="N794" s="20"/>
      <c r="O794" s="20"/>
      <c r="P794" s="20"/>
      <c r="Q794" s="20"/>
    </row>
    <row r="795" spans="10:17" x14ac:dyDescent="0.2">
      <c r="J795" s="13">
        <v>-0.27</v>
      </c>
      <c r="K795" s="14">
        <v>-0.2</v>
      </c>
      <c r="L795" s="12">
        <v>0.62</v>
      </c>
      <c r="M795" s="20">
        <v>1.4E-2</v>
      </c>
      <c r="N795" s="20"/>
      <c r="O795" s="20"/>
      <c r="P795" s="20"/>
      <c r="Q795" s="20"/>
    </row>
    <row r="796" spans="10:17" x14ac:dyDescent="0.2">
      <c r="J796" s="13">
        <v>-0.89</v>
      </c>
      <c r="K796" s="13">
        <v>-0.03</v>
      </c>
      <c r="L796" s="12">
        <v>0.38</v>
      </c>
      <c r="M796" s="20">
        <v>1.4E-2</v>
      </c>
      <c r="N796" s="20"/>
      <c r="O796" s="20"/>
      <c r="P796" s="20"/>
      <c r="Q796" s="20"/>
    </row>
    <row r="797" spans="10:17" x14ac:dyDescent="0.2">
      <c r="J797" s="13">
        <v>-0.68</v>
      </c>
      <c r="K797" s="13">
        <v>-0.55000000000000004</v>
      </c>
      <c r="L797" s="12">
        <v>0.53</v>
      </c>
      <c r="M797" s="20">
        <v>1.4E-2</v>
      </c>
      <c r="N797" s="20"/>
      <c r="O797" s="20"/>
      <c r="P797" s="20"/>
      <c r="Q797" s="20"/>
    </row>
    <row r="798" spans="10:17" x14ac:dyDescent="0.2">
      <c r="J798" s="17">
        <v>-1.57</v>
      </c>
      <c r="K798" s="13">
        <v>-0.43</v>
      </c>
      <c r="L798" s="13">
        <v>-0.27</v>
      </c>
      <c r="M798" s="20">
        <v>1.4E-2</v>
      </c>
      <c r="N798" s="20"/>
      <c r="O798" s="20"/>
      <c r="P798" s="20"/>
      <c r="Q798" s="20"/>
    </row>
    <row r="799" spans="10:17" x14ac:dyDescent="0.2">
      <c r="J799" s="12">
        <v>0.76</v>
      </c>
      <c r="K799" s="13">
        <v>-0.59</v>
      </c>
      <c r="L799" s="12">
        <v>0.37</v>
      </c>
      <c r="M799" s="20">
        <v>1.4E-2</v>
      </c>
      <c r="N799" s="20"/>
      <c r="O799" s="20"/>
      <c r="P799" s="20"/>
      <c r="Q799" s="20"/>
    </row>
    <row r="800" spans="10:17" x14ac:dyDescent="0.2">
      <c r="J800" s="12">
        <v>0.57999999999999996</v>
      </c>
      <c r="K800" s="12">
        <v>0.02</v>
      </c>
      <c r="L800" s="12">
        <v>0.03</v>
      </c>
      <c r="M800" s="20">
        <v>1.4E-2</v>
      </c>
      <c r="N800" s="20"/>
      <c r="O800" s="20"/>
      <c r="P800" s="20"/>
      <c r="Q800" s="20"/>
    </row>
    <row r="801" spans="10:17" x14ac:dyDescent="0.2">
      <c r="J801" s="13">
        <v>-0.01</v>
      </c>
      <c r="K801" s="12">
        <v>0.39</v>
      </c>
      <c r="L801" s="13">
        <v>-0.25</v>
      </c>
      <c r="M801" s="20">
        <v>1.4E-2</v>
      </c>
      <c r="N801" s="20"/>
      <c r="O801" s="20"/>
      <c r="P801" s="20"/>
      <c r="Q801" s="20"/>
    </row>
    <row r="802" spans="10:17" x14ac:dyDescent="0.2">
      <c r="J802" s="16">
        <v>-1.3</v>
      </c>
      <c r="K802" s="12">
        <v>0.36</v>
      </c>
      <c r="L802" s="13">
        <v>-0.27</v>
      </c>
      <c r="M802" s="20">
        <v>1.4E-2</v>
      </c>
      <c r="N802" s="20"/>
      <c r="O802" s="20"/>
      <c r="P802" s="20"/>
      <c r="Q802" s="20"/>
    </row>
    <row r="803" spans="10:17" x14ac:dyDescent="0.2">
      <c r="J803" s="12">
        <v>0.25</v>
      </c>
      <c r="K803" s="13">
        <v>-0.45</v>
      </c>
      <c r="L803" s="12">
        <v>7.0000000000000007E-2</v>
      </c>
      <c r="M803" s="20">
        <v>1.4E-2</v>
      </c>
      <c r="N803" s="20"/>
      <c r="O803" s="20"/>
      <c r="P803" s="20"/>
      <c r="Q803" s="20"/>
    </row>
    <row r="804" spans="10:17" x14ac:dyDescent="0.2">
      <c r="J804" s="12">
        <v>0.98</v>
      </c>
      <c r="K804" s="13">
        <v>-0.28999999999999998</v>
      </c>
      <c r="L804" s="12">
        <v>0.18</v>
      </c>
      <c r="M804" s="20">
        <v>1.4E-2</v>
      </c>
      <c r="N804" s="20"/>
      <c r="O804" s="20"/>
      <c r="P804" s="20"/>
      <c r="Q804" s="20"/>
    </row>
    <row r="805" spans="10:17" x14ac:dyDescent="0.2">
      <c r="J805" s="15">
        <v>1.55</v>
      </c>
      <c r="K805" s="13">
        <v>-0.17</v>
      </c>
      <c r="L805" s="13">
        <v>-0.36</v>
      </c>
      <c r="M805" s="20">
        <v>1.4E-2</v>
      </c>
      <c r="N805" s="20"/>
      <c r="O805" s="20"/>
      <c r="P805" s="20"/>
      <c r="Q805" s="20"/>
    </row>
    <row r="806" spans="10:17" x14ac:dyDescent="0.2">
      <c r="J806" s="15">
        <v>1.07</v>
      </c>
      <c r="K806" s="13">
        <v>-0.28999999999999998</v>
      </c>
      <c r="L806" s="13">
        <v>-0.04</v>
      </c>
      <c r="M806" s="20">
        <v>1.4E-2</v>
      </c>
      <c r="N806" s="20"/>
      <c r="O806" s="20"/>
      <c r="P806" s="20"/>
      <c r="Q806" s="20"/>
    </row>
    <row r="807" spans="10:17" x14ac:dyDescent="0.2">
      <c r="J807" s="12">
        <v>0.27</v>
      </c>
      <c r="K807" s="12">
        <v>0.08</v>
      </c>
      <c r="L807" s="12">
        <v>0.03</v>
      </c>
      <c r="M807" s="20">
        <v>1.4E-2</v>
      </c>
      <c r="N807" s="20"/>
      <c r="O807" s="20"/>
      <c r="P807" s="20"/>
      <c r="Q807" s="20"/>
    </row>
    <row r="808" spans="10:17" x14ac:dyDescent="0.2">
      <c r="J808" s="13">
        <v>-0.43</v>
      </c>
      <c r="K808" s="13">
        <v>-0.02</v>
      </c>
      <c r="L808" s="11">
        <v>0.1</v>
      </c>
      <c r="M808" s="20">
        <v>1.4E-2</v>
      </c>
      <c r="N808" s="20"/>
      <c r="O808" s="20"/>
      <c r="P808" s="20"/>
      <c r="Q808" s="20"/>
    </row>
    <row r="809" spans="10:17" x14ac:dyDescent="0.2">
      <c r="J809" s="12">
        <v>0.02</v>
      </c>
      <c r="K809" s="13">
        <v>-0.56999999999999995</v>
      </c>
      <c r="L809" s="12">
        <v>0.56999999999999995</v>
      </c>
      <c r="M809" s="20">
        <v>1.4E-2</v>
      </c>
      <c r="N809" s="20"/>
      <c r="O809" s="20"/>
      <c r="P809" s="20"/>
      <c r="Q809" s="20"/>
    </row>
    <row r="810" spans="10:17" x14ac:dyDescent="0.2">
      <c r="J810" s="12">
        <v>0.02</v>
      </c>
      <c r="K810" s="13">
        <v>-0.49</v>
      </c>
      <c r="L810" s="12">
        <v>0.55000000000000004</v>
      </c>
      <c r="M810" s="20">
        <v>1.4E-2</v>
      </c>
      <c r="N810" s="20"/>
      <c r="O810" s="20"/>
      <c r="P810" s="20"/>
      <c r="Q810" s="20"/>
    </row>
    <row r="811" spans="10:17" x14ac:dyDescent="0.2">
      <c r="J811" s="13">
        <v>-0.43</v>
      </c>
      <c r="K811" s="12">
        <v>0.27</v>
      </c>
      <c r="L811" s="13">
        <v>-0.61</v>
      </c>
      <c r="M811" s="20">
        <v>1.4E-2</v>
      </c>
      <c r="N811" s="20"/>
      <c r="O811" s="20"/>
      <c r="P811" s="20"/>
      <c r="Q811" s="20"/>
    </row>
    <row r="812" spans="10:17" x14ac:dyDescent="0.2">
      <c r="J812" s="17">
        <v>-1.1499999999999999</v>
      </c>
      <c r="K812" s="12">
        <v>0.12</v>
      </c>
      <c r="L812" s="13">
        <v>-0.75</v>
      </c>
      <c r="M812" s="20">
        <v>1.4E-2</v>
      </c>
      <c r="N812" s="20"/>
      <c r="O812" s="20"/>
      <c r="P812" s="20"/>
      <c r="Q812" s="20"/>
    </row>
    <row r="813" spans="10:17" x14ac:dyDescent="0.2">
      <c r="J813" s="13">
        <v>-0.98</v>
      </c>
      <c r="L813" s="13">
        <v>-0.34</v>
      </c>
    </row>
    <row r="814" spans="10:17" x14ac:dyDescent="0.2">
      <c r="J814" s="17">
        <v>-3.14</v>
      </c>
      <c r="L814" s="13">
        <v>-0.28000000000000003</v>
      </c>
    </row>
    <row r="815" spans="10:17" x14ac:dyDescent="0.2">
      <c r="J815" s="17">
        <v>-1.1599999999999999</v>
      </c>
      <c r="L815" s="12">
        <v>0.04</v>
      </c>
    </row>
    <row r="816" spans="10:17" x14ac:dyDescent="0.2">
      <c r="J816" s="15">
        <v>3.28</v>
      </c>
      <c r="L816" s="12">
        <v>0.33</v>
      </c>
    </row>
    <row r="817" spans="10:12" x14ac:dyDescent="0.2">
      <c r="J817" s="15">
        <v>1.63</v>
      </c>
      <c r="L817" s="12">
        <v>0.55000000000000004</v>
      </c>
    </row>
    <row r="818" spans="10:12" x14ac:dyDescent="0.2">
      <c r="J818" s="17">
        <v>-2.2599999999999998</v>
      </c>
      <c r="L818" s="12">
        <v>0.01</v>
      </c>
    </row>
    <row r="819" spans="10:12" x14ac:dyDescent="0.2">
      <c r="J819" s="15">
        <v>1.19</v>
      </c>
      <c r="L819" s="12">
        <v>0.36</v>
      </c>
    </row>
    <row r="820" spans="10:12" x14ac:dyDescent="0.2">
      <c r="J820" s="17">
        <v>-1.08</v>
      </c>
      <c r="L820" s="12">
        <v>7.0000000000000007E-2</v>
      </c>
    </row>
    <row r="821" spans="10:12" x14ac:dyDescent="0.2">
      <c r="J821" s="18">
        <v>1.2</v>
      </c>
      <c r="L821" s="12">
        <v>0.19</v>
      </c>
    </row>
    <row r="822" spans="10:12" x14ac:dyDescent="0.2">
      <c r="J822" s="13">
        <v>-0.75</v>
      </c>
      <c r="L822" s="13">
        <v>-0.74</v>
      </c>
    </row>
    <row r="823" spans="10:12" x14ac:dyDescent="0.2">
      <c r="J823" s="12">
        <v>0.12</v>
      </c>
      <c r="L823" s="12">
        <v>0.65</v>
      </c>
    </row>
    <row r="824" spans="10:12" x14ac:dyDescent="0.2">
      <c r="J824" s="13">
        <v>-0.95</v>
      </c>
      <c r="L824" s="13">
        <v>-0.65</v>
      </c>
    </row>
    <row r="825" spans="10:12" x14ac:dyDescent="0.2">
      <c r="J825" s="13">
        <v>-0.87</v>
      </c>
      <c r="L825" s="13">
        <v>-0.37</v>
      </c>
    </row>
    <row r="826" spans="10:12" x14ac:dyDescent="0.2">
      <c r="J826" s="12">
        <v>0.49</v>
      </c>
      <c r="L826" s="12">
        <v>7.0000000000000007E-2</v>
      </c>
    </row>
    <row r="827" spans="10:12" x14ac:dyDescent="0.2">
      <c r="J827" s="15">
        <v>1.02</v>
      </c>
      <c r="L827" s="12">
        <v>0.54</v>
      </c>
    </row>
    <row r="828" spans="10:12" x14ac:dyDescent="0.2">
      <c r="J828" s="12">
        <v>0.63</v>
      </c>
      <c r="L828" s="13">
        <v>-0.59</v>
      </c>
    </row>
    <row r="829" spans="10:12" x14ac:dyDescent="0.2">
      <c r="J829" s="13">
        <v>-0.02</v>
      </c>
      <c r="L829" s="12">
        <v>0.21</v>
      </c>
    </row>
    <row r="830" spans="10:12" x14ac:dyDescent="0.2">
      <c r="J830" s="13">
        <v>-0.57999999999999996</v>
      </c>
      <c r="L830" s="14">
        <v>-0.2</v>
      </c>
    </row>
    <row r="831" spans="10:12" x14ac:dyDescent="0.2">
      <c r="J831" s="12">
        <v>0.05</v>
      </c>
      <c r="L831" s="13">
        <v>-0.25</v>
      </c>
    </row>
    <row r="832" spans="10:12" x14ac:dyDescent="0.2">
      <c r="J832" s="15">
        <v>1.02</v>
      </c>
      <c r="L832" s="11">
        <v>0.1</v>
      </c>
    </row>
    <row r="833" spans="10:12" x14ac:dyDescent="0.2">
      <c r="J833" s="12">
        <v>0.38</v>
      </c>
      <c r="L833" s="13">
        <v>-0.81</v>
      </c>
    </row>
    <row r="834" spans="10:12" x14ac:dyDescent="0.2">
      <c r="J834" s="13">
        <v>-0.03</v>
      </c>
      <c r="L834" s="14">
        <v>-0.2</v>
      </c>
    </row>
    <row r="835" spans="10:12" x14ac:dyDescent="0.2">
      <c r="J835" s="12">
        <v>0.19</v>
      </c>
      <c r="L835" s="13">
        <v>-0.41</v>
      </c>
    </row>
    <row r="836" spans="10:12" x14ac:dyDescent="0.2">
      <c r="J836" s="12">
        <v>0.83</v>
      </c>
      <c r="L836" s="12">
        <v>0.06</v>
      </c>
    </row>
    <row r="837" spans="10:12" x14ac:dyDescent="0.2">
      <c r="J837" s="12">
        <v>0.44</v>
      </c>
      <c r="L837" s="13">
        <v>-0.12</v>
      </c>
    </row>
    <row r="838" spans="10:12" x14ac:dyDescent="0.2">
      <c r="J838" s="13">
        <v>-0.24</v>
      </c>
      <c r="L838" s="12">
        <v>0.36</v>
      </c>
    </row>
    <row r="839" spans="10:12" x14ac:dyDescent="0.2">
      <c r="J839" s="14">
        <v>-0.6</v>
      </c>
      <c r="L839" s="11">
        <v>0.2</v>
      </c>
    </row>
    <row r="840" spans="10:12" x14ac:dyDescent="0.2">
      <c r="J840" s="13">
        <v>-0.08</v>
      </c>
      <c r="L840" s="13">
        <v>-0.37</v>
      </c>
    </row>
    <row r="841" spans="10:12" x14ac:dyDescent="0.2">
      <c r="J841" s="12">
        <v>0.55000000000000004</v>
      </c>
      <c r="L841" s="12">
        <v>0.46</v>
      </c>
    </row>
    <row r="842" spans="10:12" x14ac:dyDescent="0.2">
      <c r="J842" s="13">
        <v>-0.53</v>
      </c>
      <c r="L842" s="12">
        <v>0.59</v>
      </c>
    </row>
    <row r="843" spans="10:12" x14ac:dyDescent="0.2">
      <c r="J843" s="15">
        <v>1.65</v>
      </c>
      <c r="L843" s="15">
        <v>1.39</v>
      </c>
    </row>
    <row r="844" spans="10:12" x14ac:dyDescent="0.2">
      <c r="J844" s="12">
        <v>0.11</v>
      </c>
      <c r="L844" s="13">
        <v>-0.23</v>
      </c>
    </row>
    <row r="845" spans="10:12" x14ac:dyDescent="0.2">
      <c r="J845" s="12">
        <v>0.14000000000000001</v>
      </c>
      <c r="L845" s="13">
        <v>-0.28000000000000003</v>
      </c>
    </row>
    <row r="846" spans="10:12" x14ac:dyDescent="0.2">
      <c r="J846" s="12">
        <v>0.75</v>
      </c>
      <c r="L846" s="13">
        <v>-0.61</v>
      </c>
    </row>
    <row r="847" spans="10:12" x14ac:dyDescent="0.2">
      <c r="J847" s="12">
        <v>0.31</v>
      </c>
      <c r="L847" s="12">
        <v>0.15</v>
      </c>
    </row>
    <row r="848" spans="10:12" x14ac:dyDescent="0.2">
      <c r="J848" s="13">
        <v>-0.52</v>
      </c>
      <c r="L848" s="14">
        <v>-0.3</v>
      </c>
    </row>
    <row r="849" spans="10:12" x14ac:dyDescent="0.2">
      <c r="J849" s="13">
        <v>-0.68</v>
      </c>
      <c r="L849" s="13">
        <v>-0.03</v>
      </c>
    </row>
    <row r="850" spans="10:12" x14ac:dyDescent="0.2">
      <c r="J850" s="11">
        <v>0.1</v>
      </c>
      <c r="L850" s="13">
        <v>-0.06</v>
      </c>
    </row>
    <row r="851" spans="10:12" x14ac:dyDescent="0.2">
      <c r="J851" s="13">
        <v>-0.55000000000000004</v>
      </c>
      <c r="L851" s="12">
        <v>0.01</v>
      </c>
    </row>
    <row r="852" spans="10:12" x14ac:dyDescent="0.2">
      <c r="J852" s="15">
        <v>1.18</v>
      </c>
      <c r="L852" s="12">
        <v>0.12</v>
      </c>
    </row>
    <row r="853" spans="10:12" x14ac:dyDescent="0.2">
      <c r="J853" s="13">
        <v>-0.34</v>
      </c>
      <c r="L853" s="12">
        <v>0.17</v>
      </c>
    </row>
    <row r="854" spans="10:12" x14ac:dyDescent="0.2">
      <c r="J854" s="17">
        <v>-2.13</v>
      </c>
      <c r="L854" s="13">
        <v>-0.21</v>
      </c>
    </row>
    <row r="855" spans="10:12" x14ac:dyDescent="0.2">
      <c r="J855" s="12">
        <v>0.89</v>
      </c>
      <c r="L855" s="13">
        <v>-0.66</v>
      </c>
    </row>
    <row r="856" spans="10:12" x14ac:dyDescent="0.2">
      <c r="J856" s="13">
        <v>-0.32</v>
      </c>
      <c r="L856" s="12">
        <v>7.0000000000000007E-2</v>
      </c>
    </row>
    <row r="857" spans="10:12" x14ac:dyDescent="0.2">
      <c r="J857" s="12">
        <v>7.0000000000000007E-2</v>
      </c>
      <c r="L857" s="13">
        <v>-0.38</v>
      </c>
    </row>
    <row r="858" spans="10:12" x14ac:dyDescent="0.2">
      <c r="J858" s="12">
        <v>0.51</v>
      </c>
      <c r="L858" s="13">
        <v>-0.08</v>
      </c>
    </row>
    <row r="859" spans="10:12" x14ac:dyDescent="0.2">
      <c r="J859" s="13">
        <v>-0.18</v>
      </c>
      <c r="L859" s="13">
        <v>-0.13</v>
      </c>
    </row>
    <row r="860" spans="10:12" x14ac:dyDescent="0.2">
      <c r="J860" s="17">
        <v>-1.97</v>
      </c>
      <c r="L860" s="11">
        <v>0.8</v>
      </c>
    </row>
    <row r="861" spans="10:12" x14ac:dyDescent="0.2">
      <c r="J861" s="12">
        <v>0.05</v>
      </c>
      <c r="L861" s="13">
        <v>-0.36</v>
      </c>
    </row>
    <row r="862" spans="10:12" x14ac:dyDescent="0.2">
      <c r="J862" s="17">
        <v>-3.17</v>
      </c>
      <c r="L862" s="13">
        <v>-0.67</v>
      </c>
    </row>
    <row r="863" spans="10:12" x14ac:dyDescent="0.2">
      <c r="J863" s="15">
        <v>1.54</v>
      </c>
      <c r="L863" s="13">
        <v>-0.19</v>
      </c>
    </row>
    <row r="864" spans="10:12" x14ac:dyDescent="0.2">
      <c r="J864" s="13">
        <v>-0.47</v>
      </c>
      <c r="L864" s="13">
        <v>-0.03</v>
      </c>
    </row>
    <row r="865" spans="10:12" x14ac:dyDescent="0.2">
      <c r="J865" s="13">
        <v>-0.37</v>
      </c>
      <c r="L865" s="13">
        <v>-7.0000000000000007E-2</v>
      </c>
    </row>
    <row r="866" spans="10:12" x14ac:dyDescent="0.2">
      <c r="J866" s="16">
        <v>-3.2</v>
      </c>
      <c r="L866" s="13">
        <v>-0.11</v>
      </c>
    </row>
    <row r="867" spans="10:12" x14ac:dyDescent="0.2">
      <c r="J867" s="15">
        <v>1.1200000000000001</v>
      </c>
    </row>
    <row r="868" spans="10:12" x14ac:dyDescent="0.2">
      <c r="J868" s="11">
        <v>0.1</v>
      </c>
    </row>
    <row r="869" spans="10:12" x14ac:dyDescent="0.2">
      <c r="J869" s="12">
        <v>0.56999999999999995</v>
      </c>
    </row>
    <row r="870" spans="10:12" x14ac:dyDescent="0.2">
      <c r="J870" s="12">
        <v>0.61</v>
      </c>
    </row>
    <row r="871" spans="10:12" x14ac:dyDescent="0.2">
      <c r="J871" s="15">
        <v>1.27</v>
      </c>
    </row>
    <row r="872" spans="10:12" x14ac:dyDescent="0.2">
      <c r="J872" s="18">
        <v>1.4</v>
      </c>
    </row>
    <row r="873" spans="10:12" x14ac:dyDescent="0.2">
      <c r="J873" s="13">
        <v>-0.31</v>
      </c>
    </row>
    <row r="874" spans="10:12" x14ac:dyDescent="0.2">
      <c r="J874" s="12">
        <v>0.27</v>
      </c>
    </row>
    <row r="875" spans="10:12" x14ac:dyDescent="0.2">
      <c r="J875" s="13">
        <v>-0.45</v>
      </c>
    </row>
    <row r="876" spans="10:12" x14ac:dyDescent="0.2">
      <c r="J876" s="13">
        <v>-0.36</v>
      </c>
    </row>
    <row r="877" spans="10:12" x14ac:dyDescent="0.2">
      <c r="J877" s="13">
        <v>-0.54</v>
      </c>
    </row>
    <row r="878" spans="10:12" x14ac:dyDescent="0.2">
      <c r="J878" s="11">
        <v>0.4</v>
      </c>
    </row>
    <row r="879" spans="10:12" x14ac:dyDescent="0.2">
      <c r="J879" s="12">
        <v>0.03</v>
      </c>
    </row>
    <row r="880" spans="10:12" x14ac:dyDescent="0.2">
      <c r="J880" s="15">
        <v>1.24</v>
      </c>
    </row>
    <row r="881" spans="10:10" x14ac:dyDescent="0.2">
      <c r="J881" s="12">
        <v>0.31</v>
      </c>
    </row>
    <row r="882" spans="10:10" x14ac:dyDescent="0.2">
      <c r="J882" s="12">
        <v>0.28999999999999998</v>
      </c>
    </row>
    <row r="883" spans="10:10" x14ac:dyDescent="0.2">
      <c r="J883" s="15">
        <v>1.22</v>
      </c>
    </row>
    <row r="884" spans="10:10" x14ac:dyDescent="0.2">
      <c r="J884" s="12">
        <v>0.17</v>
      </c>
    </row>
    <row r="885" spans="10:10" x14ac:dyDescent="0.2">
      <c r="J885" s="13">
        <v>-0.65</v>
      </c>
    </row>
    <row r="886" spans="10:10" x14ac:dyDescent="0.2">
      <c r="J886" s="12">
        <v>0.43</v>
      </c>
    </row>
    <row r="887" spans="10:10" x14ac:dyDescent="0.2">
      <c r="J887" s="12">
        <v>0.67</v>
      </c>
    </row>
    <row r="888" spans="10:10" x14ac:dyDescent="0.2">
      <c r="J888" s="12">
        <v>0.31</v>
      </c>
    </row>
    <row r="889" spans="10:10" x14ac:dyDescent="0.2">
      <c r="J889" s="13">
        <v>-0.21</v>
      </c>
    </row>
    <row r="890" spans="10:10" x14ac:dyDescent="0.2">
      <c r="J890" s="12">
        <v>0.77</v>
      </c>
    </row>
    <row r="891" spans="10:10" x14ac:dyDescent="0.2">
      <c r="J891" s="12">
        <v>0.56000000000000005</v>
      </c>
    </row>
    <row r="892" spans="10:10" x14ac:dyDescent="0.2">
      <c r="J892" s="12">
        <v>0.04</v>
      </c>
    </row>
    <row r="893" spans="10:10" x14ac:dyDescent="0.2">
      <c r="J893" s="12">
        <v>0.94</v>
      </c>
    </row>
    <row r="894" spans="10:10" x14ac:dyDescent="0.2">
      <c r="J894" s="12">
        <v>0.86</v>
      </c>
    </row>
    <row r="895" spans="10:10" x14ac:dyDescent="0.2">
      <c r="J895" s="12">
        <v>0.37</v>
      </c>
    </row>
    <row r="896" spans="10:10" x14ac:dyDescent="0.2">
      <c r="J896" s="15">
        <v>1.1100000000000001</v>
      </c>
    </row>
    <row r="897" spans="10:10" x14ac:dyDescent="0.2">
      <c r="J897" s="12">
        <v>0.33</v>
      </c>
    </row>
    <row r="898" spans="10:10" x14ac:dyDescent="0.2">
      <c r="J898" s="12">
        <v>0.47</v>
      </c>
    </row>
    <row r="899" spans="10:10" x14ac:dyDescent="0.2">
      <c r="J899" s="12">
        <v>0.16</v>
      </c>
    </row>
    <row r="900" spans="10:10" x14ac:dyDescent="0.2">
      <c r="J900" s="12">
        <v>0.04</v>
      </c>
    </row>
    <row r="901" spans="10:10" x14ac:dyDescent="0.2">
      <c r="J901" s="12">
        <v>0.11</v>
      </c>
    </row>
    <row r="902" spans="10:10" x14ac:dyDescent="0.2">
      <c r="J902" s="14">
        <v>-0.3</v>
      </c>
    </row>
    <row r="903" spans="10:10" x14ac:dyDescent="0.2">
      <c r="J903" s="12">
        <v>0.25</v>
      </c>
    </row>
    <row r="904" spans="10:10" x14ac:dyDescent="0.2">
      <c r="J904" s="12">
        <v>0.92</v>
      </c>
    </row>
    <row r="905" spans="10:10" x14ac:dyDescent="0.2">
      <c r="J905" s="11">
        <v>0.4</v>
      </c>
    </row>
    <row r="906" spans="10:10" x14ac:dyDescent="0.2">
      <c r="J906" s="13">
        <v>-0.46</v>
      </c>
    </row>
    <row r="907" spans="10:10" x14ac:dyDescent="0.2">
      <c r="J907" s="12">
        <v>0.48</v>
      </c>
    </row>
    <row r="908" spans="10:10" x14ac:dyDescent="0.2">
      <c r="J908" s="12">
        <v>0.27</v>
      </c>
    </row>
    <row r="909" spans="10:10" x14ac:dyDescent="0.2">
      <c r="J909" s="13">
        <v>-0.12</v>
      </c>
    </row>
    <row r="910" spans="10:10" x14ac:dyDescent="0.2">
      <c r="J910" s="12">
        <v>0.33</v>
      </c>
    </row>
    <row r="911" spans="10:10" x14ac:dyDescent="0.2">
      <c r="J911" s="12">
        <v>0.15</v>
      </c>
    </row>
    <row r="912" spans="10:10" x14ac:dyDescent="0.2">
      <c r="J912" s="17">
        <v>-1.1100000000000001</v>
      </c>
    </row>
    <row r="913" spans="10:10" x14ac:dyDescent="0.2">
      <c r="J913" s="15">
        <v>1.03</v>
      </c>
    </row>
    <row r="914" spans="10:10" x14ac:dyDescent="0.2">
      <c r="J914" s="13">
        <v>-0.49</v>
      </c>
    </row>
    <row r="915" spans="10:10" x14ac:dyDescent="0.2">
      <c r="J915" s="12">
        <v>0.51</v>
      </c>
    </row>
    <row r="916" spans="10:10" x14ac:dyDescent="0.2">
      <c r="J916" s="14">
        <v>-0.4</v>
      </c>
    </row>
    <row r="917" spans="10:10" x14ac:dyDescent="0.2">
      <c r="J917" s="13">
        <v>-0.44</v>
      </c>
    </row>
    <row r="918" spans="10:10" x14ac:dyDescent="0.2">
      <c r="J918" s="17">
        <v>-1.1599999999999999</v>
      </c>
    </row>
    <row r="919" spans="10:10" x14ac:dyDescent="0.2">
      <c r="J919" s="12">
        <v>0.89</v>
      </c>
    </row>
    <row r="920" spans="10:10" x14ac:dyDescent="0.2">
      <c r="J920" s="15">
        <v>1.08</v>
      </c>
    </row>
    <row r="921" spans="10:10" x14ac:dyDescent="0.2">
      <c r="J921" s="12">
        <v>0.81</v>
      </c>
    </row>
    <row r="922" spans="10:10" x14ac:dyDescent="0.2">
      <c r="J922" s="12">
        <v>0.93</v>
      </c>
    </row>
    <row r="923" spans="10:10" x14ac:dyDescent="0.2">
      <c r="J923" s="12">
        <v>0.51</v>
      </c>
    </row>
    <row r="924" spans="10:10" x14ac:dyDescent="0.2">
      <c r="J924" s="13">
        <v>-0.61</v>
      </c>
    </row>
    <row r="925" spans="10:10" x14ac:dyDescent="0.2">
      <c r="J925" s="13">
        <v>-0.47</v>
      </c>
    </row>
    <row r="926" spans="10:10" x14ac:dyDescent="0.2">
      <c r="J926" s="17">
        <v>-1.02</v>
      </c>
    </row>
    <row r="927" spans="10:10" x14ac:dyDescent="0.2">
      <c r="J927" s="11">
        <v>0.9</v>
      </c>
    </row>
    <row r="928" spans="10:10" x14ac:dyDescent="0.2">
      <c r="J928" s="17">
        <v>-3.61</v>
      </c>
    </row>
    <row r="929" spans="10:10" x14ac:dyDescent="0.2">
      <c r="J929" s="15">
        <v>1.59</v>
      </c>
    </row>
    <row r="930" spans="10:10" x14ac:dyDescent="0.2">
      <c r="J930" s="15">
        <v>1.47</v>
      </c>
    </row>
    <row r="931" spans="10:10" x14ac:dyDescent="0.2">
      <c r="J931" s="11">
        <v>0.7</v>
      </c>
    </row>
    <row r="932" spans="10:10" x14ac:dyDescent="0.2">
      <c r="J932" s="12">
        <v>0.14000000000000001</v>
      </c>
    </row>
    <row r="933" spans="10:10" x14ac:dyDescent="0.2">
      <c r="J933" s="12">
        <v>0.28999999999999998</v>
      </c>
    </row>
    <row r="934" spans="10:10" x14ac:dyDescent="0.2">
      <c r="J934" s="18">
        <v>1.8</v>
      </c>
    </row>
    <row r="935" spans="10:10" x14ac:dyDescent="0.2">
      <c r="J935" s="12">
        <v>0.25</v>
      </c>
    </row>
    <row r="936" spans="10:10" x14ac:dyDescent="0.2">
      <c r="J936" s="11">
        <v>0.5</v>
      </c>
    </row>
    <row r="937" spans="10:10" x14ac:dyDescent="0.2">
      <c r="J937" s="11">
        <v>0.3</v>
      </c>
    </row>
    <row r="938" spans="10:10" x14ac:dyDescent="0.2">
      <c r="J938" s="13">
        <v>-0.37</v>
      </c>
    </row>
    <row r="939" spans="10:10" x14ac:dyDescent="0.2">
      <c r="J939" s="12">
        <v>0.85</v>
      </c>
    </row>
    <row r="940" spans="10:10" x14ac:dyDescent="0.2">
      <c r="J940" s="12">
        <v>0.94</v>
      </c>
    </row>
    <row r="941" spans="10:10" x14ac:dyDescent="0.2">
      <c r="J941" s="12">
        <v>0.22</v>
      </c>
    </row>
    <row r="942" spans="10:10" x14ac:dyDescent="0.2">
      <c r="J942" s="13">
        <v>-0.05</v>
      </c>
    </row>
    <row r="943" spans="10:10" x14ac:dyDescent="0.2">
      <c r="J943" s="13">
        <v>-0.08</v>
      </c>
    </row>
    <row r="944" spans="10:10" x14ac:dyDescent="0.2">
      <c r="J944" s="13">
        <v>-0.03</v>
      </c>
    </row>
    <row r="945" spans="10:10" x14ac:dyDescent="0.2">
      <c r="J945" s="12">
        <v>0.84</v>
      </c>
    </row>
    <row r="946" spans="10:10" x14ac:dyDescent="0.2">
      <c r="J946" s="15">
        <v>1.0900000000000001</v>
      </c>
    </row>
    <row r="947" spans="10:10" x14ac:dyDescent="0.2">
      <c r="J947" s="12">
        <v>0.36</v>
      </c>
    </row>
    <row r="948" spans="10:10" x14ac:dyDescent="0.2">
      <c r="J948" s="13">
        <v>-0.53</v>
      </c>
    </row>
    <row r="949" spans="10:10" x14ac:dyDescent="0.2">
      <c r="J949" s="17">
        <v>-1.91</v>
      </c>
    </row>
    <row r="950" spans="10:10" x14ac:dyDescent="0.2">
      <c r="J950" s="15">
        <v>2.06</v>
      </c>
    </row>
    <row r="951" spans="10:10" x14ac:dyDescent="0.2">
      <c r="J951" s="12">
        <v>0.32</v>
      </c>
    </row>
    <row r="952" spans="10:10" x14ac:dyDescent="0.2">
      <c r="J952" s="13">
        <v>-0.59</v>
      </c>
    </row>
    <row r="953" spans="10:10" x14ac:dyDescent="0.2">
      <c r="J953" s="17">
        <v>-1.72</v>
      </c>
    </row>
    <row r="954" spans="10:10" x14ac:dyDescent="0.2">
      <c r="J954" s="15">
        <v>1.19</v>
      </c>
    </row>
    <row r="955" spans="10:10" x14ac:dyDescent="0.2">
      <c r="J955" s="16">
        <v>-1</v>
      </c>
    </row>
    <row r="956" spans="10:10" x14ac:dyDescent="0.2">
      <c r="J956" s="12">
        <v>0.25</v>
      </c>
    </row>
    <row r="957" spans="10:10" x14ac:dyDescent="0.2">
      <c r="J957" s="12">
        <v>0.22</v>
      </c>
    </row>
    <row r="958" spans="10:10" x14ac:dyDescent="0.2">
      <c r="J958" s="15">
        <v>1.03</v>
      </c>
    </row>
    <row r="959" spans="10:10" x14ac:dyDescent="0.2">
      <c r="J959" s="13">
        <v>-0.63</v>
      </c>
    </row>
    <row r="960" spans="10:10" x14ac:dyDescent="0.2">
      <c r="J960" s="12">
        <v>0.44</v>
      </c>
    </row>
    <row r="961" spans="10:10" x14ac:dyDescent="0.2">
      <c r="J961" s="12">
        <v>0.01</v>
      </c>
    </row>
    <row r="962" spans="10:10" x14ac:dyDescent="0.2">
      <c r="J962" s="13">
        <v>-0.87</v>
      </c>
    </row>
    <row r="963" spans="10:10" x14ac:dyDescent="0.2">
      <c r="J963" s="13">
        <v>-0.08</v>
      </c>
    </row>
    <row r="964" spans="10:10" x14ac:dyDescent="0.2">
      <c r="J964" s="13">
        <v>-0.28000000000000003</v>
      </c>
    </row>
    <row r="965" spans="10:10" x14ac:dyDescent="0.2">
      <c r="J965" s="17">
        <v>-1.53</v>
      </c>
    </row>
    <row r="966" spans="10:10" x14ac:dyDescent="0.2">
      <c r="J966" s="13">
        <v>-0.16</v>
      </c>
    </row>
    <row r="967" spans="10:10" x14ac:dyDescent="0.2">
      <c r="J967" s="12">
        <v>0.95</v>
      </c>
    </row>
    <row r="968" spans="10:10" x14ac:dyDescent="0.2">
      <c r="J968" s="17">
        <v>-2.42</v>
      </c>
    </row>
    <row r="969" spans="10:10" x14ac:dyDescent="0.2">
      <c r="J969" s="11">
        <v>0.3</v>
      </c>
    </row>
    <row r="970" spans="10:10" x14ac:dyDescent="0.2">
      <c r="J970" s="13">
        <v>-0.81</v>
      </c>
    </row>
    <row r="971" spans="10:10" x14ac:dyDescent="0.2">
      <c r="J971" s="13">
        <v>-0.68</v>
      </c>
    </row>
    <row r="972" spans="10:10" x14ac:dyDescent="0.2">
      <c r="J972" s="12">
        <v>0.75</v>
      </c>
    </row>
    <row r="973" spans="10:10" x14ac:dyDescent="0.2">
      <c r="J973" s="17">
        <v>-3.67</v>
      </c>
    </row>
    <row r="974" spans="10:10" x14ac:dyDescent="0.2">
      <c r="J974" s="17">
        <v>-1.21</v>
      </c>
    </row>
    <row r="975" spans="10:10" x14ac:dyDescent="0.2">
      <c r="J975" s="15">
        <v>3.89</v>
      </c>
    </row>
    <row r="976" spans="10:10" x14ac:dyDescent="0.2">
      <c r="J976" s="15">
        <v>1.75</v>
      </c>
    </row>
    <row r="977" spans="10:10" x14ac:dyDescent="0.2">
      <c r="J977" s="13">
        <v>-0.01</v>
      </c>
    </row>
    <row r="978" spans="10:10" x14ac:dyDescent="0.2">
      <c r="J978" s="14">
        <v>-0.2</v>
      </c>
    </row>
    <row r="979" spans="10:10" x14ac:dyDescent="0.2">
      <c r="J979" s="18">
        <v>1.4</v>
      </c>
    </row>
    <row r="980" spans="10:10" x14ac:dyDescent="0.2">
      <c r="J980" s="13">
        <v>-0.16</v>
      </c>
    </row>
    <row r="981" spans="10:10" x14ac:dyDescent="0.2">
      <c r="J981" s="13">
        <v>-0.51</v>
      </c>
    </row>
    <row r="982" spans="10:10" x14ac:dyDescent="0.2">
      <c r="J982" s="13">
        <v>-0.68</v>
      </c>
    </row>
    <row r="983" spans="10:10" x14ac:dyDescent="0.2">
      <c r="J983" s="17">
        <v>-3.06</v>
      </c>
    </row>
    <row r="984" spans="10:10" x14ac:dyDescent="0.2">
      <c r="J984" s="15">
        <v>1.03</v>
      </c>
    </row>
    <row r="985" spans="10:10" x14ac:dyDescent="0.2">
      <c r="J985" s="17">
        <v>-2.3199999999999998</v>
      </c>
    </row>
    <row r="986" spans="10:10" x14ac:dyDescent="0.2">
      <c r="J986" s="16">
        <v>-2.8</v>
      </c>
    </row>
    <row r="987" spans="10:10" x14ac:dyDescent="0.2">
      <c r="J987" s="17">
        <v>-1.35</v>
      </c>
    </row>
    <row r="988" spans="10:10" x14ac:dyDescent="0.2">
      <c r="J988" s="15">
        <v>1.97</v>
      </c>
    </row>
    <row r="989" spans="10:10" x14ac:dyDescent="0.2">
      <c r="J989" s="17">
        <v>-5.65</v>
      </c>
    </row>
    <row r="990" spans="10:10" x14ac:dyDescent="0.2">
      <c r="J990" s="17">
        <v>-3.84</v>
      </c>
    </row>
    <row r="991" spans="10:10" x14ac:dyDescent="0.2">
      <c r="J991" s="18">
        <v>1.5</v>
      </c>
    </row>
    <row r="992" spans="10:10" x14ac:dyDescent="0.2">
      <c r="J992" s="13">
        <v>-0.35</v>
      </c>
    </row>
    <row r="993" spans="10:10" x14ac:dyDescent="0.2">
      <c r="J993" s="19">
        <v>-11.29</v>
      </c>
    </row>
    <row r="994" spans="10:10" x14ac:dyDescent="0.2">
      <c r="J994" s="19">
        <v>-12.01</v>
      </c>
    </row>
    <row r="995" spans="10:10" x14ac:dyDescent="0.2">
      <c r="J995" s="17">
        <v>12.16</v>
      </c>
    </row>
    <row r="996" spans="10:10" x14ac:dyDescent="0.2">
      <c r="J996" s="18">
        <v>6.1</v>
      </c>
    </row>
    <row r="997" spans="10:10" x14ac:dyDescent="0.2">
      <c r="J997" s="17">
        <v>-4.29</v>
      </c>
    </row>
    <row r="998" spans="10:10" x14ac:dyDescent="0.2">
      <c r="J998" s="17">
        <v>-9.75</v>
      </c>
    </row>
    <row r="999" spans="10:10" x14ac:dyDescent="0.2">
      <c r="J999" s="15">
        <v>2.1800000000000002</v>
      </c>
    </row>
    <row r="1000" spans="10:10" x14ac:dyDescent="0.2">
      <c r="J1000" s="12">
        <v>0.01</v>
      </c>
    </row>
    <row r="1001" spans="10:10" x14ac:dyDescent="0.2">
      <c r="J1001" s="16">
        <v>-5.6</v>
      </c>
    </row>
    <row r="1002" spans="10:10" x14ac:dyDescent="0.2">
      <c r="J1002" s="16">
        <v>-6</v>
      </c>
    </row>
    <row r="1003" spans="10:10" x14ac:dyDescent="0.2">
      <c r="J1003" s="17">
        <v>-5.58</v>
      </c>
    </row>
    <row r="1004" spans="10:10" x14ac:dyDescent="0.2">
      <c r="J1004" s="15">
        <v>7.85</v>
      </c>
    </row>
    <row r="1005" spans="10:10" x14ac:dyDescent="0.2">
      <c r="J1005" s="15">
        <v>6.23</v>
      </c>
    </row>
    <row r="1006" spans="10:10" x14ac:dyDescent="0.2">
      <c r="J1006" s="17">
        <v>-1.17</v>
      </c>
    </row>
    <row r="1007" spans="10:10" x14ac:dyDescent="0.2">
      <c r="J1007" s="15">
        <v>2.59</v>
      </c>
    </row>
    <row r="1008" spans="10:10" x14ac:dyDescent="0.2">
      <c r="J1008" s="15">
        <v>2.4500000000000002</v>
      </c>
    </row>
    <row r="1009" spans="10:10" x14ac:dyDescent="0.2">
      <c r="J1009" s="15">
        <v>2.14</v>
      </c>
    </row>
    <row r="1010" spans="10:10" x14ac:dyDescent="0.2">
      <c r="J1010" s="13">
        <v>-0.46</v>
      </c>
    </row>
    <row r="1011" spans="10:10" x14ac:dyDescent="0.2">
      <c r="J1011" s="17">
        <v>-1.1100000000000001</v>
      </c>
    </row>
    <row r="1012" spans="10:10" x14ac:dyDescent="0.2">
      <c r="J1012" s="17">
        <v>-2.29</v>
      </c>
    </row>
    <row r="1013" spans="10:10" x14ac:dyDescent="0.2">
      <c r="J1013" s="12">
        <v>0.98</v>
      </c>
    </row>
    <row r="1014" spans="10:10" x14ac:dyDescent="0.2">
      <c r="J1014" s="12">
        <v>0.04</v>
      </c>
    </row>
    <row r="1015" spans="10:10" x14ac:dyDescent="0.2">
      <c r="J1015" s="15">
        <v>2.78</v>
      </c>
    </row>
    <row r="1016" spans="10:10" x14ac:dyDescent="0.2">
      <c r="J1016" s="15">
        <v>1.83</v>
      </c>
    </row>
    <row r="1017" spans="10:10" x14ac:dyDescent="0.2">
      <c r="J1017" s="13">
        <v>-0.42</v>
      </c>
    </row>
    <row r="1018" spans="10:10" x14ac:dyDescent="0.2">
      <c r="J1018" s="15">
        <v>2.0099999999999998</v>
      </c>
    </row>
    <row r="1019" spans="10:10" x14ac:dyDescent="0.2">
      <c r="J1019" s="15">
        <v>1.08</v>
      </c>
    </row>
    <row r="1020" spans="10:10" x14ac:dyDescent="0.2">
      <c r="J1020" s="13">
        <v>-0.93</v>
      </c>
    </row>
    <row r="1021" spans="10:10" x14ac:dyDescent="0.2">
      <c r="J1021" s="12">
        <v>0.35</v>
      </c>
    </row>
    <row r="1022" spans="10:10" x14ac:dyDescent="0.2">
      <c r="J1022" s="14">
        <v>-0.5</v>
      </c>
    </row>
    <row r="1023" spans="10:10" x14ac:dyDescent="0.2">
      <c r="J1023" s="17">
        <v>-4.95</v>
      </c>
    </row>
    <row r="1024" spans="10:10" x14ac:dyDescent="0.2">
      <c r="J1024" s="15">
        <v>1.92</v>
      </c>
    </row>
    <row r="1025" spans="10:10" x14ac:dyDescent="0.2">
      <c r="J1025" s="15">
        <v>1.21</v>
      </c>
    </row>
    <row r="1026" spans="10:10" x14ac:dyDescent="0.2">
      <c r="J1026" s="17">
        <v>-2.37</v>
      </c>
    </row>
    <row r="1027" spans="10:10" x14ac:dyDescent="0.2">
      <c r="J1027" s="12">
        <v>0.62</v>
      </c>
    </row>
    <row r="1028" spans="10:10" x14ac:dyDescent="0.2">
      <c r="J1028" s="13">
        <v>-0.56000000000000005</v>
      </c>
    </row>
    <row r="1029" spans="10:10" x14ac:dyDescent="0.2">
      <c r="J1029" s="17">
        <v>-2.41</v>
      </c>
    </row>
    <row r="1030" spans="10:10" x14ac:dyDescent="0.2">
      <c r="J1030" s="17">
        <v>-3.25</v>
      </c>
    </row>
    <row r="1031" spans="10:10" x14ac:dyDescent="0.2">
      <c r="J1031" s="15">
        <v>1.59</v>
      </c>
    </row>
    <row r="1032" spans="10:10" x14ac:dyDescent="0.2">
      <c r="J1032" s="17">
        <v>-1.37</v>
      </c>
    </row>
    <row r="1033" spans="10:10" x14ac:dyDescent="0.2">
      <c r="J1033" s="12">
        <v>0.45</v>
      </c>
    </row>
    <row r="1034" spans="10:10" x14ac:dyDescent="0.2">
      <c r="J1034" s="15">
        <v>2.09</v>
      </c>
    </row>
    <row r="1035" spans="10:10" x14ac:dyDescent="0.2">
      <c r="J1035" s="13">
        <v>-0.23</v>
      </c>
    </row>
    <row r="1036" spans="10:10" x14ac:dyDescent="0.2">
      <c r="J1036" s="13">
        <v>-0.75</v>
      </c>
    </row>
    <row r="1037" spans="10:10" x14ac:dyDescent="0.2">
      <c r="J1037" s="12">
        <v>0.75</v>
      </c>
    </row>
    <row r="1038" spans="10:10" x14ac:dyDescent="0.2">
      <c r="J1038" s="15">
        <v>2.68</v>
      </c>
    </row>
    <row r="1039" spans="10:10" x14ac:dyDescent="0.2">
      <c r="J1039" s="13">
        <v>-0.95</v>
      </c>
    </row>
    <row r="1040" spans="10:10" x14ac:dyDescent="0.2">
      <c r="J1040" s="12">
        <v>0.63</v>
      </c>
    </row>
    <row r="1041" spans="10:10" x14ac:dyDescent="0.2">
      <c r="J1041" s="12">
        <v>0.71</v>
      </c>
    </row>
    <row r="1042" spans="10:10" x14ac:dyDescent="0.2">
      <c r="J1042" s="12">
        <v>0.02</v>
      </c>
    </row>
    <row r="1043" spans="10:10" x14ac:dyDescent="0.2">
      <c r="J1043" s="13">
        <v>-0.69</v>
      </c>
    </row>
    <row r="1044" spans="10:10" x14ac:dyDescent="0.2">
      <c r="J1044" s="13">
        <v>-0.12</v>
      </c>
    </row>
    <row r="1045" spans="10:10" x14ac:dyDescent="0.2">
      <c r="J1045" s="15">
        <v>1.25</v>
      </c>
    </row>
    <row r="1046" spans="10:10" x14ac:dyDescent="0.2">
      <c r="J1046" s="13">
        <v>-0.22</v>
      </c>
    </row>
    <row r="1047" spans="10:10" x14ac:dyDescent="0.2">
      <c r="J1047" s="13">
        <v>-0.49</v>
      </c>
    </row>
    <row r="1048" spans="10:10" x14ac:dyDescent="0.2">
      <c r="J1048" s="11">
        <v>0.3</v>
      </c>
    </row>
    <row r="1049" spans="10:10" x14ac:dyDescent="0.2">
      <c r="J1049" s="12">
        <v>0.18</v>
      </c>
    </row>
    <row r="1050" spans="10:10" x14ac:dyDescent="0.2">
      <c r="J1050" s="11">
        <v>0.2</v>
      </c>
    </row>
    <row r="1051" spans="10:10" x14ac:dyDescent="0.2">
      <c r="J1051" s="13">
        <v>-0.59</v>
      </c>
    </row>
    <row r="1052" spans="10:10" x14ac:dyDescent="0.2">
      <c r="J1052" s="13">
        <v>-0.78</v>
      </c>
    </row>
    <row r="1053" spans="10:10" x14ac:dyDescent="0.2">
      <c r="J1053" s="12">
        <v>0.23</v>
      </c>
    </row>
    <row r="1054" spans="10:10" x14ac:dyDescent="0.2">
      <c r="J1054" s="12">
        <v>0.25</v>
      </c>
    </row>
    <row r="1055" spans="10:10" x14ac:dyDescent="0.2">
      <c r="J1055" s="12">
        <v>0.57999999999999996</v>
      </c>
    </row>
    <row r="1056" spans="10:10" x14ac:dyDescent="0.2">
      <c r="J1056" s="12">
        <v>0.11</v>
      </c>
    </row>
    <row r="1057" spans="10:10" x14ac:dyDescent="0.2">
      <c r="J1057" s="12">
        <v>0.94</v>
      </c>
    </row>
    <row r="1058" spans="10:10" x14ac:dyDescent="0.2">
      <c r="J1058" s="12">
        <v>0.69</v>
      </c>
    </row>
    <row r="1059" spans="10:10" x14ac:dyDescent="0.2">
      <c r="J1059" s="12">
        <v>0.75</v>
      </c>
    </row>
    <row r="1060" spans="10:10" x14ac:dyDescent="0.2">
      <c r="J1060" s="12">
        <v>0.33</v>
      </c>
    </row>
    <row r="1061" spans="10:10" x14ac:dyDescent="0.2">
      <c r="J1061" s="13">
        <v>-0.54</v>
      </c>
    </row>
    <row r="1062" spans="10:10" x14ac:dyDescent="0.2">
      <c r="J1062" s="15">
        <v>1.01</v>
      </c>
    </row>
    <row r="1063" spans="10:10" x14ac:dyDescent="0.2">
      <c r="J1063" s="12">
        <v>0.25</v>
      </c>
    </row>
    <row r="1064" spans="10:10" x14ac:dyDescent="0.2">
      <c r="J1064" s="15">
        <v>1.39</v>
      </c>
    </row>
    <row r="1065" spans="10:10" x14ac:dyDescent="0.2">
      <c r="J1065" s="12">
        <v>0.79</v>
      </c>
    </row>
    <row r="1066" spans="10:10" x14ac:dyDescent="0.2">
      <c r="J1066" s="13">
        <v>-0.61</v>
      </c>
    </row>
    <row r="1067" spans="10:10" x14ac:dyDescent="0.2">
      <c r="J1067" s="12">
        <v>0.78</v>
      </c>
    </row>
    <row r="1068" spans="10:10" x14ac:dyDescent="0.2">
      <c r="J1068" s="15">
        <v>1.03</v>
      </c>
    </row>
    <row r="1069" spans="10:10" x14ac:dyDescent="0.2">
      <c r="J1069" s="13">
        <v>-0.81</v>
      </c>
    </row>
    <row r="1070" spans="10:10" x14ac:dyDescent="0.2">
      <c r="J1070" s="13">
        <v>-0.26</v>
      </c>
    </row>
    <row r="1071" spans="10:10" x14ac:dyDescent="0.2">
      <c r="J1071" s="12">
        <v>0.82</v>
      </c>
    </row>
    <row r="1072" spans="10:10" x14ac:dyDescent="0.2">
      <c r="J1072" s="13">
        <v>-7.0000000000000007E-2</v>
      </c>
    </row>
    <row r="1073" spans="10:10" x14ac:dyDescent="0.2">
      <c r="J1073" s="12">
        <v>0.55000000000000004</v>
      </c>
    </row>
    <row r="1074" spans="10:10" x14ac:dyDescent="0.2">
      <c r="J1074" s="12">
        <v>0.16</v>
      </c>
    </row>
    <row r="1075" spans="10:10" x14ac:dyDescent="0.2">
      <c r="J1075" s="12">
        <v>0.06</v>
      </c>
    </row>
    <row r="1076" spans="10:10" x14ac:dyDescent="0.2">
      <c r="J1076" s="14">
        <v>-0.8</v>
      </c>
    </row>
    <row r="1077" spans="10:10" x14ac:dyDescent="0.2">
      <c r="J1077" s="12">
        <v>0.59</v>
      </c>
    </row>
    <row r="1078" spans="10:10" x14ac:dyDescent="0.2">
      <c r="J1078" s="12">
        <v>0.21</v>
      </c>
    </row>
    <row r="1079" spans="10:10" x14ac:dyDescent="0.2">
      <c r="J1079" s="13">
        <v>-0.72</v>
      </c>
    </row>
    <row r="1080" spans="10:10" x14ac:dyDescent="0.2">
      <c r="J1080" s="16">
        <v>-1.9</v>
      </c>
    </row>
    <row r="1081" spans="10:10" x14ac:dyDescent="0.2">
      <c r="J1081" s="15">
        <v>1.1399999999999999</v>
      </c>
    </row>
    <row r="1082" spans="10:10" x14ac:dyDescent="0.2">
      <c r="J1082" s="13">
        <v>-0.89</v>
      </c>
    </row>
    <row r="1083" spans="10:10" x14ac:dyDescent="0.2">
      <c r="J1083" s="12">
        <v>0.01</v>
      </c>
    </row>
    <row r="1084" spans="10:10" x14ac:dyDescent="0.2">
      <c r="J1084" s="15">
        <v>1.61</v>
      </c>
    </row>
    <row r="1085" spans="10:10" x14ac:dyDescent="0.2">
      <c r="J1085" s="12">
        <v>0.25</v>
      </c>
    </row>
    <row r="1086" spans="10:10" x14ac:dyDescent="0.2">
      <c r="J1086" s="12">
        <v>0.55000000000000004</v>
      </c>
    </row>
    <row r="1087" spans="10:10" x14ac:dyDescent="0.2">
      <c r="J1087" s="12">
        <v>0.62</v>
      </c>
    </row>
    <row r="1088" spans="10:10" x14ac:dyDescent="0.2">
      <c r="J1088" s="14">
        <v>-0.1</v>
      </c>
    </row>
    <row r="1089" spans="10:10" x14ac:dyDescent="0.2">
      <c r="J1089" s="11">
        <v>0.5</v>
      </c>
    </row>
    <row r="1090" spans="10:10" x14ac:dyDescent="0.2">
      <c r="J1090" s="14">
        <v>-0.7</v>
      </c>
    </row>
    <row r="1091" spans="10:10" x14ac:dyDescent="0.2">
      <c r="J1091" s="12">
        <v>0.79</v>
      </c>
    </row>
    <row r="1092" spans="10:10" x14ac:dyDescent="0.2">
      <c r="J1092" s="12">
        <v>0.09</v>
      </c>
    </row>
    <row r="1093" spans="10:10" x14ac:dyDescent="0.2">
      <c r="J1093" s="12">
        <v>0.12</v>
      </c>
    </row>
    <row r="1094" spans="10:10" x14ac:dyDescent="0.2">
      <c r="J1094" s="12">
        <v>0.45</v>
      </c>
    </row>
    <row r="1095" spans="10:10" x14ac:dyDescent="0.2">
      <c r="J1095" s="12">
        <v>0.18</v>
      </c>
    </row>
    <row r="1096" spans="10:10" x14ac:dyDescent="0.2">
      <c r="J1096" s="13">
        <v>-0.81</v>
      </c>
    </row>
    <row r="1097" spans="10:10" x14ac:dyDescent="0.2">
      <c r="J1097" s="12">
        <v>0.41</v>
      </c>
    </row>
    <row r="1098" spans="10:10" x14ac:dyDescent="0.2">
      <c r="J1098" s="13">
        <v>-0.68</v>
      </c>
    </row>
    <row r="1099" spans="10:10" x14ac:dyDescent="0.2">
      <c r="J1099" s="13">
        <v>-0.49</v>
      </c>
    </row>
    <row r="1100" spans="10:10" x14ac:dyDescent="0.2">
      <c r="J1100" s="18">
        <v>1.3</v>
      </c>
    </row>
    <row r="1101" spans="10:10" x14ac:dyDescent="0.2">
      <c r="J1101" s="12">
        <v>0.97</v>
      </c>
    </row>
    <row r="1102" spans="10:10" x14ac:dyDescent="0.2">
      <c r="J1102" s="11">
        <v>0.3</v>
      </c>
    </row>
    <row r="1103" spans="10:10" x14ac:dyDescent="0.2">
      <c r="J1103" s="12">
        <v>0.54</v>
      </c>
    </row>
    <row r="1104" spans="10:10" x14ac:dyDescent="0.2">
      <c r="J1104" s="12">
        <v>0.54</v>
      </c>
    </row>
    <row r="1105" spans="10:10" x14ac:dyDescent="0.2">
      <c r="J1105" s="13">
        <v>-0.88</v>
      </c>
    </row>
    <row r="1106" spans="10:10" x14ac:dyDescent="0.2">
      <c r="J1106" s="12">
        <v>0.95</v>
      </c>
    </row>
    <row r="1107" spans="10:10" x14ac:dyDescent="0.2">
      <c r="J1107" s="12">
        <v>0.03</v>
      </c>
    </row>
    <row r="1108" spans="10:10" x14ac:dyDescent="0.2">
      <c r="J1108" s="12">
        <v>0.99</v>
      </c>
    </row>
    <row r="1109" spans="10:10" x14ac:dyDescent="0.2">
      <c r="J1109" s="13">
        <v>-0.17</v>
      </c>
    </row>
    <row r="1110" spans="10:10" x14ac:dyDescent="0.2">
      <c r="J1110" s="12">
        <v>0.87</v>
      </c>
    </row>
    <row r="1111" spans="10:10" x14ac:dyDescent="0.2">
      <c r="J1111" s="12">
        <v>0.83</v>
      </c>
    </row>
    <row r="1112" spans="10:10" x14ac:dyDescent="0.2">
      <c r="J1112" s="12">
        <v>0.28000000000000003</v>
      </c>
    </row>
    <row r="1113" spans="10:10" x14ac:dyDescent="0.2">
      <c r="J1113" s="12">
        <v>0.76</v>
      </c>
    </row>
    <row r="1114" spans="10:10" x14ac:dyDescent="0.2">
      <c r="J1114" s="13">
        <v>-0.97</v>
      </c>
    </row>
    <row r="1115" spans="10:10" x14ac:dyDescent="0.2">
      <c r="J1115" s="12">
        <v>0.27</v>
      </c>
    </row>
    <row r="1116" spans="10:10" x14ac:dyDescent="0.2">
      <c r="J1116" s="15">
        <v>1.05</v>
      </c>
    </row>
    <row r="1117" spans="10:10" x14ac:dyDescent="0.2">
      <c r="J1117" s="11">
        <v>0.5</v>
      </c>
    </row>
    <row r="1118" spans="10:10" x14ac:dyDescent="0.2">
      <c r="J1118" s="13">
        <v>-0.03</v>
      </c>
    </row>
    <row r="1119" spans="10:10" x14ac:dyDescent="0.2">
      <c r="J1119" s="13">
        <v>-0.64</v>
      </c>
    </row>
    <row r="1120" spans="10:10" x14ac:dyDescent="0.2">
      <c r="J1120" s="15">
        <v>1.29</v>
      </c>
    </row>
    <row r="1121" spans="10:10" x14ac:dyDescent="0.2">
      <c r="J1121" s="12">
        <v>0.06</v>
      </c>
    </row>
    <row r="1122" spans="10:10" x14ac:dyDescent="0.2">
      <c r="J1122" s="13">
        <v>-0.37</v>
      </c>
    </row>
    <row r="1123" spans="10:10" x14ac:dyDescent="0.2">
      <c r="J1123" s="11">
        <v>0</v>
      </c>
    </row>
    <row r="1124" spans="10:10" x14ac:dyDescent="0.2">
      <c r="J1124" s="13">
        <v>-0.24</v>
      </c>
    </row>
    <row r="1125" spans="10:10" x14ac:dyDescent="0.2">
      <c r="J1125" s="13">
        <v>-0.02</v>
      </c>
    </row>
    <row r="1126" spans="10:10" x14ac:dyDescent="0.2">
      <c r="J1126" s="13">
        <v>-0.73</v>
      </c>
    </row>
    <row r="1127" spans="10:10" x14ac:dyDescent="0.2">
      <c r="J1127" s="11">
        <v>0.5</v>
      </c>
    </row>
    <row r="1128" spans="10:10" x14ac:dyDescent="0.2">
      <c r="J1128" s="16">
        <v>-1.5</v>
      </c>
    </row>
    <row r="1129" spans="10:10" x14ac:dyDescent="0.2">
      <c r="J1129" s="12">
        <v>0.46</v>
      </c>
    </row>
    <row r="1130" spans="10:10" x14ac:dyDescent="0.2">
      <c r="J1130" s="12">
        <v>0.39</v>
      </c>
    </row>
    <row r="1131" spans="10:10" x14ac:dyDescent="0.2">
      <c r="J1131" s="13">
        <v>-0.85</v>
      </c>
    </row>
    <row r="1132" spans="10:10" x14ac:dyDescent="0.2">
      <c r="J1132" s="14">
        <v>-0.2</v>
      </c>
    </row>
    <row r="1133" spans="10:10" x14ac:dyDescent="0.2">
      <c r="J1133" s="12">
        <v>0.03</v>
      </c>
    </row>
    <row r="1134" spans="10:10" x14ac:dyDescent="0.2">
      <c r="J1134" s="16">
        <v>-2.1</v>
      </c>
    </row>
    <row r="1135" spans="10:10" x14ac:dyDescent="0.2">
      <c r="J1135" s="13">
        <v>-0.46</v>
      </c>
    </row>
    <row r="1136" spans="10:10" x14ac:dyDescent="0.2">
      <c r="J1136" s="12">
        <v>0.78</v>
      </c>
    </row>
    <row r="1137" spans="10:10" x14ac:dyDescent="0.2">
      <c r="J1137" s="17">
        <v>-1.95</v>
      </c>
    </row>
    <row r="1138" spans="10:10" x14ac:dyDescent="0.2">
      <c r="J1138" s="17">
        <v>-2.46</v>
      </c>
    </row>
    <row r="1139" spans="10:10" x14ac:dyDescent="0.2">
      <c r="J1139" s="17">
        <v>-3.19</v>
      </c>
    </row>
    <row r="1140" spans="10:10" x14ac:dyDescent="0.2">
      <c r="J1140" s="13">
        <v>-0.19</v>
      </c>
    </row>
    <row r="1141" spans="10:10" x14ac:dyDescent="0.2">
      <c r="J1141" s="15">
        <v>3.14</v>
      </c>
    </row>
    <row r="1142" spans="10:10" x14ac:dyDescent="0.2">
      <c r="J1142" s="13">
        <v>-0.91</v>
      </c>
    </row>
    <row r="1143" spans="10:10" x14ac:dyDescent="0.2">
      <c r="J1143" s="12">
        <v>0.22</v>
      </c>
    </row>
    <row r="1144" spans="10:10" x14ac:dyDescent="0.2">
      <c r="J1144" s="12">
        <v>0.98</v>
      </c>
    </row>
    <row r="1145" spans="10:10" x14ac:dyDescent="0.2">
      <c r="J1145" s="15">
        <v>1.38</v>
      </c>
    </row>
    <row r="1146" spans="10:10" x14ac:dyDescent="0.2">
      <c r="J1146" s="13">
        <v>-0.01</v>
      </c>
    </row>
    <row r="1147" spans="10:10" x14ac:dyDescent="0.2">
      <c r="J1147" s="15">
        <v>1.04</v>
      </c>
    </row>
    <row r="1148" spans="10:10" x14ac:dyDescent="0.2">
      <c r="J1148" s="12">
        <v>0.56999999999999995</v>
      </c>
    </row>
    <row r="1149" spans="10:10" x14ac:dyDescent="0.2">
      <c r="J1149" s="17">
        <v>-1.26</v>
      </c>
    </row>
    <row r="1150" spans="10:10" x14ac:dyDescent="0.2">
      <c r="J1150" s="12">
        <v>0.51</v>
      </c>
    </row>
    <row r="1151" spans="10:10" x14ac:dyDescent="0.2">
      <c r="J1151" s="12">
        <v>0.03</v>
      </c>
    </row>
    <row r="1152" spans="10:10" x14ac:dyDescent="0.2">
      <c r="J1152" s="17">
        <v>-1.84</v>
      </c>
    </row>
    <row r="1153" spans="10:10" x14ac:dyDescent="0.2">
      <c r="J1153" s="12">
        <v>0.13</v>
      </c>
    </row>
    <row r="1154" spans="10:10" x14ac:dyDescent="0.2">
      <c r="J1154" s="13">
        <v>-0.35</v>
      </c>
    </row>
    <row r="1155" spans="10:10" x14ac:dyDescent="0.2">
      <c r="J1155" s="12">
        <v>0.16</v>
      </c>
    </row>
    <row r="1156" spans="10:10" x14ac:dyDescent="0.2">
      <c r="J1156" s="12">
        <v>0.99</v>
      </c>
    </row>
    <row r="1157" spans="10:10" x14ac:dyDescent="0.2">
      <c r="J1157" s="12">
        <v>0.56999999999999995</v>
      </c>
    </row>
    <row r="1158" spans="10:10" x14ac:dyDescent="0.2">
      <c r="J1158" s="12">
        <v>0.12</v>
      </c>
    </row>
    <row r="1159" spans="10:10" x14ac:dyDescent="0.2">
      <c r="J1159" s="12">
        <v>0.09</v>
      </c>
    </row>
    <row r="1160" spans="10:10" x14ac:dyDescent="0.2">
      <c r="J1160" s="12">
        <v>0.34</v>
      </c>
    </row>
    <row r="1161" spans="10:10" x14ac:dyDescent="0.2">
      <c r="J1161" s="12">
        <v>0.49</v>
      </c>
    </row>
    <row r="1162" spans="10:10" x14ac:dyDescent="0.2">
      <c r="J1162" s="13">
        <v>-0.17</v>
      </c>
    </row>
    <row r="1163" spans="10:10" x14ac:dyDescent="0.2">
      <c r="J1163" s="13">
        <v>-0.82</v>
      </c>
    </row>
    <row r="1164" spans="10:10" x14ac:dyDescent="0.2">
      <c r="J1164" s="12">
        <v>0.28999999999999998</v>
      </c>
    </row>
    <row r="1165" spans="10:10" x14ac:dyDescent="0.2">
      <c r="J1165" s="17">
        <v>-1.41</v>
      </c>
    </row>
    <row r="1166" spans="10:10" x14ac:dyDescent="0.2">
      <c r="J1166" s="17">
        <v>-1.47</v>
      </c>
    </row>
    <row r="1167" spans="10:10" x14ac:dyDescent="0.2">
      <c r="J1167" s="17">
        <v>-1.81</v>
      </c>
    </row>
    <row r="1168" spans="10:10" x14ac:dyDescent="0.2">
      <c r="J1168" s="17">
        <v>-2.97</v>
      </c>
    </row>
    <row r="1169" spans="10:10" x14ac:dyDescent="0.2">
      <c r="J1169" s="15">
        <v>2.1800000000000002</v>
      </c>
    </row>
    <row r="1170" spans="10:10" x14ac:dyDescent="0.2">
      <c r="J1170" s="16">
        <v>-3.2</v>
      </c>
    </row>
    <row r="1171" spans="10:10" x14ac:dyDescent="0.2">
      <c r="J1171" s="14">
        <v>-0.5</v>
      </c>
    </row>
    <row r="1172" spans="10:10" x14ac:dyDescent="0.2">
      <c r="J1172" s="11">
        <v>0.7</v>
      </c>
    </row>
    <row r="1173" spans="10:10" x14ac:dyDescent="0.2">
      <c r="J1173" s="17">
        <v>-1.77</v>
      </c>
    </row>
    <row r="1174" spans="10:10" x14ac:dyDescent="0.2">
      <c r="J1174" s="17">
        <v>-5.38</v>
      </c>
    </row>
    <row r="1175" spans="10:10" x14ac:dyDescent="0.2">
      <c r="J1175" s="13">
        <v>-0.19</v>
      </c>
    </row>
    <row r="1176" spans="10:10" x14ac:dyDescent="0.2">
      <c r="J1176" s="17">
        <v>-3.42</v>
      </c>
    </row>
    <row r="1177" spans="10:10" x14ac:dyDescent="0.2">
      <c r="J1177" s="15">
        <v>4.2699999999999996</v>
      </c>
    </row>
    <row r="1178" spans="10:10" x14ac:dyDescent="0.2">
      <c r="J1178" s="17">
        <v>-1.75</v>
      </c>
    </row>
    <row r="1179" spans="10:10" x14ac:dyDescent="0.2">
      <c r="J1179" s="17">
        <v>-2.61</v>
      </c>
    </row>
    <row r="1180" spans="10:10" x14ac:dyDescent="0.2">
      <c r="J1180" s="18">
        <v>1.3</v>
      </c>
    </row>
    <row r="1181" spans="10:10" x14ac:dyDescent="0.2">
      <c r="J1181" s="16">
        <v>-2.6</v>
      </c>
    </row>
    <row r="1182" spans="10:10" x14ac:dyDescent="0.2">
      <c r="J1182" s="12">
        <v>0.13</v>
      </c>
    </row>
    <row r="1183" spans="10:10" x14ac:dyDescent="0.2">
      <c r="J1183" s="18">
        <v>2.2000000000000002</v>
      </c>
    </row>
    <row r="1184" spans="10:10" x14ac:dyDescent="0.2">
      <c r="J1184" s="13">
        <v>-0.87</v>
      </c>
    </row>
    <row r="1185" spans="10:10" x14ac:dyDescent="0.2">
      <c r="J1185" s="12">
        <v>0.33</v>
      </c>
    </row>
    <row r="1186" spans="10:10" x14ac:dyDescent="0.2">
      <c r="J1186" s="18">
        <v>2.5</v>
      </c>
    </row>
    <row r="1187" spans="10:10" x14ac:dyDescent="0.2">
      <c r="J1187" s="13">
        <v>-0.69</v>
      </c>
    </row>
    <row r="1188" spans="10:10" x14ac:dyDescent="0.2">
      <c r="J1188" s="12">
        <v>0.87</v>
      </c>
    </row>
    <row r="1189" spans="10:10" x14ac:dyDescent="0.2">
      <c r="J1189" s="13">
        <v>-0.94</v>
      </c>
    </row>
    <row r="1190" spans="10:10" x14ac:dyDescent="0.2">
      <c r="J1190" s="17">
        <v>-1.72</v>
      </c>
    </row>
    <row r="1191" spans="10:10" x14ac:dyDescent="0.2">
      <c r="J1191" s="12">
        <v>0.37</v>
      </c>
    </row>
    <row r="1192" spans="10:10" x14ac:dyDescent="0.2">
      <c r="J1192" s="15">
        <v>1.34</v>
      </c>
    </row>
    <row r="1193" spans="10:10" x14ac:dyDescent="0.2">
      <c r="J1193" s="15">
        <v>2.15</v>
      </c>
    </row>
    <row r="1194" spans="10:10" x14ac:dyDescent="0.2">
      <c r="J1194" s="14">
        <v>-0.9</v>
      </c>
    </row>
    <row r="1195" spans="10:10" x14ac:dyDescent="0.2">
      <c r="J1195" s="15">
        <v>1.55</v>
      </c>
    </row>
    <row r="1196" spans="10:10" x14ac:dyDescent="0.2">
      <c r="J1196" s="15">
        <v>1.91</v>
      </c>
    </row>
    <row r="1197" spans="10:10" x14ac:dyDescent="0.2">
      <c r="J1197" s="12">
        <v>0.45</v>
      </c>
    </row>
    <row r="1198" spans="10:10" x14ac:dyDescent="0.2">
      <c r="J1198" s="12">
        <v>0.69</v>
      </c>
    </row>
    <row r="1199" spans="10:10" x14ac:dyDescent="0.2">
      <c r="J1199" s="12">
        <v>0.59</v>
      </c>
    </row>
    <row r="1200" spans="10:10" x14ac:dyDescent="0.2">
      <c r="J1200" s="12">
        <v>0.71</v>
      </c>
    </row>
    <row r="1201" spans="10:10" x14ac:dyDescent="0.2">
      <c r="J1201" s="13">
        <v>-0.81</v>
      </c>
    </row>
    <row r="1202" spans="10:10" x14ac:dyDescent="0.2">
      <c r="J1202" s="17">
        <v>-2.56</v>
      </c>
    </row>
    <row r="1203" spans="10:10" x14ac:dyDescent="0.2">
      <c r="J1203" s="15">
        <v>1.46</v>
      </c>
    </row>
    <row r="1204" spans="10:10" x14ac:dyDescent="0.2">
      <c r="J1204" s="18">
        <v>1.4</v>
      </c>
    </row>
    <row r="1205" spans="10:10" x14ac:dyDescent="0.2">
      <c r="J1205" s="13">
        <v>-0.99</v>
      </c>
    </row>
    <row r="1206" spans="10:10" x14ac:dyDescent="0.2">
      <c r="J1206" s="12">
        <v>0.49</v>
      </c>
    </row>
    <row r="1207" spans="10:10" x14ac:dyDescent="0.2">
      <c r="J1207" s="12">
        <v>0.91</v>
      </c>
    </row>
    <row r="1208" spans="10:10" x14ac:dyDescent="0.2">
      <c r="J1208" s="12">
        <v>0.34</v>
      </c>
    </row>
    <row r="1209" spans="10:10" x14ac:dyDescent="0.2">
      <c r="J1209" s="13">
        <v>-0.77</v>
      </c>
    </row>
    <row r="1210" spans="10:10" x14ac:dyDescent="0.2">
      <c r="J1210" s="16">
        <v>-2.2999999999999998</v>
      </c>
    </row>
    <row r="1211" spans="10:10" x14ac:dyDescent="0.2">
      <c r="J1211" s="12">
        <v>0.53</v>
      </c>
    </row>
    <row r="1212" spans="10:10" x14ac:dyDescent="0.2">
      <c r="J1212" s="13">
        <v>-0.46</v>
      </c>
    </row>
    <row r="1213" spans="10:10" x14ac:dyDescent="0.2">
      <c r="J1213" s="12">
        <v>0.45</v>
      </c>
    </row>
    <row r="1214" spans="10:10" x14ac:dyDescent="0.2">
      <c r="J1214" s="15">
        <v>1.31</v>
      </c>
    </row>
    <row r="1215" spans="10:10" x14ac:dyDescent="0.2">
      <c r="J1215" s="13">
        <v>-0.12</v>
      </c>
    </row>
    <row r="1216" spans="10:10" x14ac:dyDescent="0.2">
      <c r="J1216" s="17">
        <v>-1.37</v>
      </c>
    </row>
    <row r="1217" spans="10:10" x14ac:dyDescent="0.2">
      <c r="J1217" s="13">
        <v>-0.73</v>
      </c>
    </row>
    <row r="1218" spans="10:10" x14ac:dyDescent="0.2">
      <c r="J1218" s="17">
        <v>-3.77</v>
      </c>
    </row>
    <row r="1219" spans="10:10" x14ac:dyDescent="0.2">
      <c r="J1219" s="13">
        <v>-0.17</v>
      </c>
    </row>
    <row r="1220" spans="10:10" x14ac:dyDescent="0.2">
      <c r="J1220" s="12">
        <v>0.84</v>
      </c>
    </row>
    <row r="1221" spans="10:10" x14ac:dyDescent="0.2">
      <c r="J1221" s="17">
        <v>-2.2599999999999998</v>
      </c>
    </row>
    <row r="1222" spans="10:10" x14ac:dyDescent="0.2">
      <c r="J1222" s="12">
        <v>0.87</v>
      </c>
    </row>
    <row r="1223" spans="10:10" x14ac:dyDescent="0.2">
      <c r="J1223" s="11">
        <v>0.4</v>
      </c>
    </row>
    <row r="1224" spans="10:10" x14ac:dyDescent="0.2">
      <c r="J1224" s="15">
        <v>2.15</v>
      </c>
    </row>
    <row r="1225" spans="10:10" x14ac:dyDescent="0.2">
      <c r="J1225" s="12">
        <v>0.01</v>
      </c>
    </row>
    <row r="1226" spans="10:10" x14ac:dyDescent="0.2">
      <c r="J1226" s="13">
        <v>-0.38</v>
      </c>
    </row>
    <row r="1227" spans="10:10" x14ac:dyDescent="0.2">
      <c r="J1227" s="12">
        <v>0.79</v>
      </c>
    </row>
    <row r="1228" spans="10:10" x14ac:dyDescent="0.2">
      <c r="J1228" s="12">
        <v>0.52</v>
      </c>
    </row>
    <row r="1229" spans="10:10" x14ac:dyDescent="0.2">
      <c r="J1229" s="13">
        <v>-0.61</v>
      </c>
    </row>
    <row r="1230" spans="10:10" x14ac:dyDescent="0.2">
      <c r="J1230" s="12">
        <v>0.12</v>
      </c>
    </row>
    <row r="1231" spans="10:10" x14ac:dyDescent="0.2">
      <c r="J1231" s="12">
        <v>0.52</v>
      </c>
    </row>
    <row r="1232" spans="10:10" x14ac:dyDescent="0.2">
      <c r="J1232" s="13">
        <v>-0.78</v>
      </c>
    </row>
    <row r="1233" spans="10:10" x14ac:dyDescent="0.2">
      <c r="J1233" s="15">
        <v>1.1599999999999999</v>
      </c>
    </row>
    <row r="1234" spans="10:10" x14ac:dyDescent="0.2">
      <c r="J1234" s="12">
        <v>0.54</v>
      </c>
    </row>
    <row r="1235" spans="10:10" x14ac:dyDescent="0.2">
      <c r="J1235" s="13">
        <v>-0.11</v>
      </c>
    </row>
    <row r="1236" spans="10:10" x14ac:dyDescent="0.2">
      <c r="J1236" s="15">
        <v>1.38</v>
      </c>
    </row>
    <row r="1237" spans="10:10" x14ac:dyDescent="0.2">
      <c r="J1237" s="12">
        <v>0.05</v>
      </c>
    </row>
    <row r="1238" spans="10:10" x14ac:dyDescent="0.2">
      <c r="J1238" s="13">
        <v>-0.95</v>
      </c>
    </row>
    <row r="1239" spans="10:10" x14ac:dyDescent="0.2">
      <c r="J1239" s="13">
        <v>-0.56999999999999995</v>
      </c>
    </row>
    <row r="1240" spans="10:10" x14ac:dyDescent="0.2">
      <c r="J1240" s="15">
        <v>1.31</v>
      </c>
    </row>
    <row r="1241" spans="10:10" x14ac:dyDescent="0.2">
      <c r="J1241" s="15">
        <v>1.18</v>
      </c>
    </row>
    <row r="1242" spans="10:10" x14ac:dyDescent="0.2">
      <c r="J1242" s="12">
        <v>0.11</v>
      </c>
    </row>
    <row r="1243" spans="10:10" x14ac:dyDescent="0.2">
      <c r="J1243" s="12">
        <v>0.41</v>
      </c>
    </row>
    <row r="1244" spans="10:10" x14ac:dyDescent="0.2">
      <c r="J1244" s="12">
        <v>0.38</v>
      </c>
    </row>
    <row r="1245" spans="10:10" x14ac:dyDescent="0.2">
      <c r="J1245" s="13">
        <v>-0.97</v>
      </c>
    </row>
    <row r="1246" spans="10:10" x14ac:dyDescent="0.2">
      <c r="J1246" s="13">
        <v>-0.41</v>
      </c>
    </row>
    <row r="1247" spans="10:10" x14ac:dyDescent="0.2">
      <c r="J1247" s="13">
        <v>-0.13</v>
      </c>
    </row>
    <row r="1248" spans="10:10" x14ac:dyDescent="0.2">
      <c r="J1248" s="17">
        <v>-1.22</v>
      </c>
    </row>
    <row r="1249" spans="10:10" x14ac:dyDescent="0.2">
      <c r="J1249" s="12">
        <v>0.17</v>
      </c>
    </row>
    <row r="1250" spans="10:10" x14ac:dyDescent="0.2">
      <c r="J1250" s="12">
        <v>0.25</v>
      </c>
    </row>
    <row r="1251" spans="10:10" x14ac:dyDescent="0.2">
      <c r="J1251" s="17">
        <v>-1.1100000000000001</v>
      </c>
    </row>
    <row r="1252" spans="10:10" x14ac:dyDescent="0.2">
      <c r="J1252" s="17">
        <v>-1.61</v>
      </c>
    </row>
    <row r="1253" spans="10:10" x14ac:dyDescent="0.2">
      <c r="J1253" s="12">
        <v>0.25</v>
      </c>
    </row>
    <row r="1254" spans="10:10" x14ac:dyDescent="0.2">
      <c r="J1254" s="17">
        <v>-2.52</v>
      </c>
    </row>
    <row r="1255" spans="10:10" x14ac:dyDescent="0.2">
      <c r="J1255" s="12">
        <v>0.89</v>
      </c>
    </row>
    <row r="1256" spans="10:10" x14ac:dyDescent="0.2">
      <c r="J1256" s="17">
        <v>-1.47</v>
      </c>
    </row>
    <row r="1257" spans="10:10" x14ac:dyDescent="0.2">
      <c r="J1257" s="16">
        <v>-2</v>
      </c>
    </row>
    <row r="1258" spans="10:10" x14ac:dyDescent="0.2">
      <c r="J1258" s="16">
        <v>-1.5</v>
      </c>
    </row>
    <row r="1259" spans="10:10" x14ac:dyDescent="0.2">
      <c r="J1259" s="13">
        <v>-0.65</v>
      </c>
    </row>
    <row r="1260" spans="10:10" x14ac:dyDescent="0.2">
      <c r="J1260" s="17">
        <v>-2.02</v>
      </c>
    </row>
    <row r="1261" spans="10:10" x14ac:dyDescent="0.2">
      <c r="J1261" s="17">
        <v>-1.54</v>
      </c>
    </row>
    <row r="1262" spans="10:10" x14ac:dyDescent="0.2">
      <c r="J1262" s="15">
        <v>3.78</v>
      </c>
    </row>
    <row r="1263" spans="10:10" x14ac:dyDescent="0.2">
      <c r="J1263" s="17">
        <v>-1.03</v>
      </c>
    </row>
    <row r="1264" spans="10:10" x14ac:dyDescent="0.2">
      <c r="J1264" s="15">
        <v>1.31</v>
      </c>
    </row>
    <row r="1265" spans="10:10" x14ac:dyDescent="0.2">
      <c r="J1265" s="13">
        <v>-0.87</v>
      </c>
    </row>
    <row r="1266" spans="10:10" x14ac:dyDescent="0.2">
      <c r="J1266" s="16">
        <v>-2.9</v>
      </c>
    </row>
    <row r="1267" spans="10:10" x14ac:dyDescent="0.2">
      <c r="J1267" s="13">
        <v>-0.21</v>
      </c>
    </row>
    <row r="1268" spans="10:10" x14ac:dyDescent="0.2">
      <c r="J1268" s="13">
        <v>-0.97</v>
      </c>
    </row>
    <row r="1269" spans="10:10" x14ac:dyDescent="0.2">
      <c r="J1269" s="17">
        <v>-3.89</v>
      </c>
    </row>
    <row r="1270" spans="10:10" x14ac:dyDescent="0.2">
      <c r="J1270" s="15">
        <v>1.89</v>
      </c>
    </row>
    <row r="1271" spans="10:10" x14ac:dyDescent="0.2">
      <c r="J1271" s="17">
        <v>-2.09</v>
      </c>
    </row>
    <row r="1272" spans="10:10" x14ac:dyDescent="0.2">
      <c r="J1272" s="12">
        <v>0.93</v>
      </c>
    </row>
    <row r="1273" spans="10:10" x14ac:dyDescent="0.2">
      <c r="J1273" s="15">
        <v>1.76</v>
      </c>
    </row>
    <row r="1274" spans="10:10" x14ac:dyDescent="0.2">
      <c r="J1274" s="17">
        <v>-1.42</v>
      </c>
    </row>
    <row r="1275" spans="10:10" x14ac:dyDescent="0.2">
      <c r="J1275" s="17">
        <v>-3.62</v>
      </c>
    </row>
    <row r="1276" spans="10:10" x14ac:dyDescent="0.2">
      <c r="J1276" s="17">
        <v>-1.1399999999999999</v>
      </c>
    </row>
    <row r="1277" spans="10:10" x14ac:dyDescent="0.2">
      <c r="J1277" s="15">
        <v>2.84</v>
      </c>
    </row>
    <row r="1278" spans="10:10" x14ac:dyDescent="0.2">
      <c r="J1278" s="17">
        <v>-2.39</v>
      </c>
    </row>
    <row r="1279" spans="10:10" x14ac:dyDescent="0.2">
      <c r="J1279" s="13">
        <v>-0.84</v>
      </c>
    </row>
    <row r="1280" spans="10:10" x14ac:dyDescent="0.2">
      <c r="J1280" s="12">
        <v>0.94</v>
      </c>
    </row>
    <row r="1281" spans="10:10" x14ac:dyDescent="0.2">
      <c r="J1281" s="15">
        <v>2.81</v>
      </c>
    </row>
    <row r="1282" spans="10:10" x14ac:dyDescent="0.2">
      <c r="J1282" s="13">
        <v>-0.16</v>
      </c>
    </row>
    <row r="1283" spans="10:10" x14ac:dyDescent="0.2">
      <c r="J1283" s="12">
        <v>0.47</v>
      </c>
    </row>
    <row r="1284" spans="10:10" x14ac:dyDescent="0.2">
      <c r="J1284" s="12">
        <v>0.62</v>
      </c>
    </row>
    <row r="1285" spans="10:10" x14ac:dyDescent="0.2">
      <c r="J1285" s="17">
        <v>-1.31</v>
      </c>
    </row>
    <row r="1286" spans="10:10" x14ac:dyDescent="0.2">
      <c r="J1286" s="17">
        <v>-1.1399999999999999</v>
      </c>
    </row>
    <row r="1287" spans="10:10" x14ac:dyDescent="0.2">
      <c r="J1287" s="17">
        <v>-1.98</v>
      </c>
    </row>
    <row r="1288" spans="10:10" x14ac:dyDescent="0.2">
      <c r="J1288" s="12">
        <v>0.27</v>
      </c>
    </row>
    <row r="1289" spans="10:10" x14ac:dyDescent="0.2">
      <c r="J1289" s="12">
        <v>0.28999999999999998</v>
      </c>
    </row>
    <row r="1290" spans="10:10" x14ac:dyDescent="0.2">
      <c r="J1290" s="17">
        <v>-2.62</v>
      </c>
    </row>
    <row r="1291" spans="10:10" x14ac:dyDescent="0.2">
      <c r="J1291" s="13">
        <v>-0.04</v>
      </c>
    </row>
    <row r="1292" spans="10:10" x14ac:dyDescent="0.2">
      <c r="J1292" s="17">
        <v>-3.26</v>
      </c>
    </row>
    <row r="1293" spans="10:10" x14ac:dyDescent="0.2">
      <c r="J1293" s="17">
        <v>-1.19</v>
      </c>
    </row>
    <row r="1294" spans="10:10" x14ac:dyDescent="0.2">
      <c r="J1294" s="17">
        <v>-1.96</v>
      </c>
    </row>
    <row r="1295" spans="10:10" x14ac:dyDescent="0.2">
      <c r="J1295" s="12">
        <v>0.95</v>
      </c>
    </row>
    <row r="1296" spans="10:10" x14ac:dyDescent="0.2">
      <c r="J1296" s="15">
        <v>1.64</v>
      </c>
    </row>
    <row r="1297" spans="10:10" x14ac:dyDescent="0.2">
      <c r="J1297" s="18">
        <v>2.4</v>
      </c>
    </row>
    <row r="1298" spans="10:10" x14ac:dyDescent="0.2">
      <c r="J1298" s="15">
        <v>2.4300000000000002</v>
      </c>
    </row>
    <row r="1299" spans="10:10" x14ac:dyDescent="0.2">
      <c r="J1299" s="15">
        <v>1.01</v>
      </c>
    </row>
    <row r="1300" spans="10:10" x14ac:dyDescent="0.2">
      <c r="J1300" s="17">
        <v>-2.81</v>
      </c>
    </row>
    <row r="1301" spans="10:10" x14ac:dyDescent="0.2">
      <c r="J1301" s="12">
        <v>0.69</v>
      </c>
    </row>
    <row r="1302" spans="10:10" x14ac:dyDescent="0.2">
      <c r="J1302" s="15">
        <v>1.93</v>
      </c>
    </row>
    <row r="1303" spans="10:10" x14ac:dyDescent="0.2">
      <c r="J1303" s="13">
        <v>-0.17</v>
      </c>
    </row>
    <row r="1304" spans="10:10" x14ac:dyDescent="0.2">
      <c r="J1304" s="15">
        <v>1.29</v>
      </c>
    </row>
    <row r="1305" spans="10:10" x14ac:dyDescent="0.2">
      <c r="J1305" s="13">
        <v>-0.94</v>
      </c>
    </row>
    <row r="1306" spans="10:10" x14ac:dyDescent="0.2">
      <c r="J1306" s="12">
        <v>0.16</v>
      </c>
    </row>
    <row r="1307" spans="10:10" x14ac:dyDescent="0.2">
      <c r="J1307" s="17">
        <v>-1.08</v>
      </c>
    </row>
    <row r="1308" spans="10:10" x14ac:dyDescent="0.2">
      <c r="J1308" s="17">
        <v>-1.39</v>
      </c>
    </row>
    <row r="1309" spans="10:10" x14ac:dyDescent="0.2">
      <c r="J1309" s="17">
        <v>-1.22</v>
      </c>
    </row>
    <row r="1310" spans="10:10" x14ac:dyDescent="0.2">
      <c r="J1310" s="12">
        <v>0.96</v>
      </c>
    </row>
    <row r="1311" spans="10:10" x14ac:dyDescent="0.2">
      <c r="J1311" s="18">
        <v>1.2</v>
      </c>
    </row>
    <row r="1312" spans="10:10" x14ac:dyDescent="0.2">
      <c r="J1312" s="12">
        <v>0.77</v>
      </c>
    </row>
    <row r="1313" spans="10:10" x14ac:dyDescent="0.2">
      <c r="J1313" s="17">
        <v>-1.26</v>
      </c>
    </row>
    <row r="1314" spans="10:10" x14ac:dyDescent="0.2">
      <c r="J1314" s="17">
        <v>-1.61</v>
      </c>
    </row>
    <row r="1315" spans="10:10" x14ac:dyDescent="0.2">
      <c r="J1315" s="12">
        <v>0.08</v>
      </c>
    </row>
    <row r="1316" spans="10:10" x14ac:dyDescent="0.2">
      <c r="J1316" s="17">
        <v>-1.06</v>
      </c>
    </row>
    <row r="1317" spans="10:10" x14ac:dyDescent="0.2">
      <c r="J1317" s="17">
        <v>-1.43</v>
      </c>
    </row>
    <row r="1318" spans="10:10" x14ac:dyDescent="0.2">
      <c r="J1318" s="13">
        <v>-0.13</v>
      </c>
    </row>
    <row r="1319" spans="10:10" x14ac:dyDescent="0.2">
      <c r="J1319" s="17">
        <v>-1.72</v>
      </c>
    </row>
    <row r="1320" spans="10:10" x14ac:dyDescent="0.2">
      <c r="J1320" s="13">
        <v>-0.97</v>
      </c>
    </row>
    <row r="1321" spans="10:10" x14ac:dyDescent="0.2">
      <c r="J1321" s="17">
        <v>-1.08</v>
      </c>
    </row>
    <row r="1322" spans="10:10" x14ac:dyDescent="0.2">
      <c r="J1322" s="17">
        <v>-2.52</v>
      </c>
    </row>
    <row r="1323" spans="10:10" x14ac:dyDescent="0.2">
      <c r="J1323" s="13">
        <v>-0.54</v>
      </c>
    </row>
    <row r="1324" spans="10:10" x14ac:dyDescent="0.2">
      <c r="J1324" s="17">
        <v>-3.19</v>
      </c>
    </row>
    <row r="1325" spans="10:10" x14ac:dyDescent="0.2">
      <c r="J1325" s="15">
        <v>3.83</v>
      </c>
    </row>
    <row r="1326" spans="10:10" x14ac:dyDescent="0.2">
      <c r="J1326" s="15">
        <v>1.18</v>
      </c>
    </row>
    <row r="1327" spans="10:10" x14ac:dyDescent="0.2">
      <c r="J1327" s="15">
        <v>1.33</v>
      </c>
    </row>
    <row r="1328" spans="10:10" x14ac:dyDescent="0.2">
      <c r="J1328" s="12">
        <v>0.11</v>
      </c>
    </row>
    <row r="1329" spans="10:10" x14ac:dyDescent="0.2">
      <c r="J1329" s="17">
        <v>-3.08</v>
      </c>
    </row>
    <row r="1330" spans="10:10" x14ac:dyDescent="0.2">
      <c r="J1330" s="12">
        <v>0.32</v>
      </c>
    </row>
    <row r="1331" spans="10:10" x14ac:dyDescent="0.2">
      <c r="J1331" s="18">
        <v>1.2</v>
      </c>
    </row>
    <row r="1332" spans="10:10" x14ac:dyDescent="0.2">
      <c r="J1332" s="17">
        <v>-1.82</v>
      </c>
    </row>
    <row r="1333" spans="10:10" x14ac:dyDescent="0.2">
      <c r="J1333" s="13">
        <v>-0.74</v>
      </c>
    </row>
    <row r="1334" spans="10:10" x14ac:dyDescent="0.2">
      <c r="J1334" s="13">
        <v>-0.26</v>
      </c>
    </row>
    <row r="1335" spans="10:10" x14ac:dyDescent="0.2">
      <c r="J1335" s="18">
        <v>2</v>
      </c>
    </row>
    <row r="1336" spans="10:10" x14ac:dyDescent="0.2">
      <c r="J1336" s="15">
        <v>1.64</v>
      </c>
    </row>
    <row r="1337" spans="10:10" x14ac:dyDescent="0.2">
      <c r="J1337" s="15">
        <v>3.49</v>
      </c>
    </row>
    <row r="1338" spans="10:10" x14ac:dyDescent="0.2">
      <c r="J1338" s="15">
        <v>1.82</v>
      </c>
    </row>
    <row r="1339" spans="10:10" x14ac:dyDescent="0.2">
      <c r="J1339" s="14">
        <v>-0.8</v>
      </c>
    </row>
    <row r="1340" spans="10:10" x14ac:dyDescent="0.2">
      <c r="J1340" s="15">
        <v>1.51</v>
      </c>
    </row>
    <row r="1341" spans="10:10" x14ac:dyDescent="0.2">
      <c r="J1341" s="12">
        <v>0.05</v>
      </c>
    </row>
    <row r="1342" spans="10:10" x14ac:dyDescent="0.2">
      <c r="J1342" s="12">
        <v>0.65</v>
      </c>
    </row>
    <row r="1343" spans="10:10" x14ac:dyDescent="0.2">
      <c r="J1343" s="13">
        <v>-0.53</v>
      </c>
    </row>
    <row r="1344" spans="10:10" x14ac:dyDescent="0.2">
      <c r="J1344" s="12">
        <v>0.42</v>
      </c>
    </row>
    <row r="1345" spans="10:10" x14ac:dyDescent="0.2">
      <c r="J1345" s="17">
        <v>-1.71</v>
      </c>
    </row>
    <row r="1346" spans="10:10" x14ac:dyDescent="0.2">
      <c r="J1346" s="16">
        <v>-1.1000000000000001</v>
      </c>
    </row>
    <row r="1347" spans="10:10" x14ac:dyDescent="0.2">
      <c r="J1347" s="12">
        <v>0.66</v>
      </c>
    </row>
    <row r="1348" spans="10:10" x14ac:dyDescent="0.2">
      <c r="J1348" s="17">
        <v>-1.98</v>
      </c>
    </row>
    <row r="1349" spans="10:10" x14ac:dyDescent="0.2">
      <c r="J1349" s="15">
        <v>1.17</v>
      </c>
    </row>
    <row r="1350" spans="10:10" x14ac:dyDescent="0.2">
      <c r="J1350" s="13">
        <v>-0.43</v>
      </c>
    </row>
    <row r="1351" spans="10:10" x14ac:dyDescent="0.2">
      <c r="J1351" s="14">
        <v>-0.6</v>
      </c>
    </row>
    <row r="1352" spans="10:10" x14ac:dyDescent="0.2">
      <c r="J1352" s="15">
        <v>1.93</v>
      </c>
    </row>
    <row r="1353" spans="10:10" x14ac:dyDescent="0.2">
      <c r="J1353" s="12">
        <v>0.05</v>
      </c>
    </row>
    <row r="1354" spans="10:10" x14ac:dyDescent="0.2">
      <c r="J1354" s="18">
        <v>1.7</v>
      </c>
    </row>
    <row r="1355" spans="10:10" x14ac:dyDescent="0.2">
      <c r="J1355" s="15">
        <v>1.77</v>
      </c>
    </row>
    <row r="1356" spans="10:10" x14ac:dyDescent="0.2">
      <c r="J1356" s="13">
        <v>-0.76</v>
      </c>
    </row>
    <row r="1357" spans="10:10" x14ac:dyDescent="0.2">
      <c r="J1357" s="12">
        <v>0.71</v>
      </c>
    </row>
    <row r="1358" spans="10:10" x14ac:dyDescent="0.2">
      <c r="J1358" s="13">
        <v>-0.44</v>
      </c>
    </row>
    <row r="1359" spans="10:10" x14ac:dyDescent="0.2">
      <c r="J1359" s="17">
        <v>-1.93</v>
      </c>
    </row>
    <row r="1360" spans="10:10" x14ac:dyDescent="0.2">
      <c r="J1360" s="15">
        <v>1.06</v>
      </c>
    </row>
    <row r="1361" spans="10:10" x14ac:dyDescent="0.2">
      <c r="J1361" s="12">
        <v>0.24</v>
      </c>
    </row>
    <row r="1362" spans="10:10" x14ac:dyDescent="0.2">
      <c r="J1362" s="14">
        <v>-0.6</v>
      </c>
    </row>
    <row r="1363" spans="10:10" x14ac:dyDescent="0.2">
      <c r="J1363" s="11">
        <v>0.3</v>
      </c>
    </row>
    <row r="1364" spans="10:10" x14ac:dyDescent="0.2">
      <c r="J1364" s="12">
        <v>0.39</v>
      </c>
    </row>
    <row r="1365" spans="10:10" x14ac:dyDescent="0.2">
      <c r="J1365" s="12">
        <v>0.46</v>
      </c>
    </row>
    <row r="1366" spans="10:10" x14ac:dyDescent="0.2">
      <c r="J1366" s="13">
        <v>-0.56999999999999995</v>
      </c>
    </row>
    <row r="1367" spans="10:10" x14ac:dyDescent="0.2">
      <c r="J1367" s="12">
        <v>0.31</v>
      </c>
    </row>
    <row r="1368" spans="10:10" x14ac:dyDescent="0.2">
      <c r="J1368" s="15">
        <v>1.31</v>
      </c>
    </row>
    <row r="1369" spans="10:10" x14ac:dyDescent="0.2">
      <c r="J1369" s="15">
        <v>2.44</v>
      </c>
    </row>
    <row r="1370" spans="10:10" x14ac:dyDescent="0.2">
      <c r="J1370" s="15">
        <v>1.45</v>
      </c>
    </row>
    <row r="1371" spans="10:10" x14ac:dyDescent="0.2">
      <c r="J1371" s="12">
        <v>0.56000000000000005</v>
      </c>
    </row>
    <row r="1372" spans="10:10" x14ac:dyDescent="0.2">
      <c r="J1372" s="13">
        <v>-0.23</v>
      </c>
    </row>
    <row r="1373" spans="10:10" x14ac:dyDescent="0.2">
      <c r="J1373" s="13">
        <v>-0.16</v>
      </c>
    </row>
    <row r="1374" spans="10:10" x14ac:dyDescent="0.2">
      <c r="J1374" s="15">
        <v>1.24</v>
      </c>
    </row>
    <row r="1375" spans="10:10" x14ac:dyDescent="0.2">
      <c r="J1375" s="17">
        <v>-1.46</v>
      </c>
    </row>
    <row r="1376" spans="10:10" x14ac:dyDescent="0.2">
      <c r="J1376" s="12">
        <v>0.71</v>
      </c>
    </row>
    <row r="1377" spans="10:10" x14ac:dyDescent="0.2">
      <c r="J1377" s="15">
        <v>1.1499999999999999</v>
      </c>
    </row>
    <row r="1378" spans="10:10" x14ac:dyDescent="0.2">
      <c r="J1378" s="15">
        <v>1.43</v>
      </c>
    </row>
    <row r="1379" spans="10:10" x14ac:dyDescent="0.2">
      <c r="J1379" s="15">
        <v>1.27</v>
      </c>
    </row>
    <row r="1380" spans="10:10" x14ac:dyDescent="0.2">
      <c r="J1380" s="15">
        <v>1.22</v>
      </c>
    </row>
    <row r="1381" spans="10:10" x14ac:dyDescent="0.2">
      <c r="J1381" s="16">
        <v>-1</v>
      </c>
    </row>
    <row r="1382" spans="10:10" x14ac:dyDescent="0.2">
      <c r="J1382" s="12">
        <v>0.82</v>
      </c>
    </row>
    <row r="1383" spans="10:10" x14ac:dyDescent="0.2">
      <c r="J1383" s="13">
        <v>-0.53</v>
      </c>
    </row>
    <row r="1384" spans="10:10" x14ac:dyDescent="0.2">
      <c r="J1384" s="13">
        <v>-0.61</v>
      </c>
    </row>
    <row r="1385" spans="10:10" x14ac:dyDescent="0.2">
      <c r="J1385" s="17">
        <v>-1.91</v>
      </c>
    </row>
    <row r="1386" spans="10:10" x14ac:dyDescent="0.2">
      <c r="J1386" s="13">
        <v>-0.27</v>
      </c>
    </row>
    <row r="1387" spans="10:10" x14ac:dyDescent="0.2">
      <c r="J1387" s="17">
        <v>-1.01</v>
      </c>
    </row>
    <row r="1388" spans="10:10" x14ac:dyDescent="0.2">
      <c r="J1388" s="15">
        <v>1.63</v>
      </c>
    </row>
    <row r="1389" spans="10:10" x14ac:dyDescent="0.2">
      <c r="J1389" s="17">
        <v>-1.73</v>
      </c>
    </row>
    <row r="1390" spans="10:10" x14ac:dyDescent="0.2">
      <c r="J1390" s="18">
        <v>1.6</v>
      </c>
    </row>
    <row r="1391" spans="10:10" x14ac:dyDescent="0.2">
      <c r="J1391" s="12">
        <v>0.53</v>
      </c>
    </row>
    <row r="1392" spans="10:10" x14ac:dyDescent="0.2">
      <c r="J1392" s="13">
        <v>-0.09</v>
      </c>
    </row>
    <row r="1393" spans="10:10" x14ac:dyDescent="0.2">
      <c r="J1393" s="17">
        <v>-1.1399999999999999</v>
      </c>
    </row>
    <row r="1394" spans="10:10" x14ac:dyDescent="0.2">
      <c r="J1394" s="13">
        <v>-0.54</v>
      </c>
    </row>
    <row r="1395" spans="10:10" x14ac:dyDescent="0.2">
      <c r="J1395" s="13">
        <v>-0.55000000000000004</v>
      </c>
    </row>
    <row r="1396" spans="10:10" x14ac:dyDescent="0.2">
      <c r="J1396" s="15">
        <v>1.21</v>
      </c>
    </row>
    <row r="1397" spans="10:10" x14ac:dyDescent="0.2">
      <c r="J1397" s="15">
        <v>1.19</v>
      </c>
    </row>
    <row r="1398" spans="10:10" x14ac:dyDescent="0.2">
      <c r="J1398" s="13">
        <v>-0.97</v>
      </c>
    </row>
    <row r="1399" spans="10:10" x14ac:dyDescent="0.2">
      <c r="J1399" s="15">
        <v>1.08</v>
      </c>
    </row>
    <row r="1400" spans="10:10" x14ac:dyDescent="0.2">
      <c r="J1400" s="15">
        <v>1.04</v>
      </c>
    </row>
    <row r="1401" spans="10:10" x14ac:dyDescent="0.2">
      <c r="J1401" s="12">
        <v>0.25</v>
      </c>
    </row>
    <row r="1402" spans="10:10" x14ac:dyDescent="0.2">
      <c r="J1402" s="13">
        <v>-0.74</v>
      </c>
    </row>
    <row r="1403" spans="10:10" x14ac:dyDescent="0.2">
      <c r="J1403" s="13">
        <v>-0.54</v>
      </c>
    </row>
    <row r="1404" spans="10:10" x14ac:dyDescent="0.2">
      <c r="J1404" s="12">
        <v>0.79</v>
      </c>
    </row>
    <row r="1405" spans="10:10" x14ac:dyDescent="0.2">
      <c r="J1405" s="13">
        <v>-0.45</v>
      </c>
    </row>
    <row r="1406" spans="10:10" x14ac:dyDescent="0.2">
      <c r="J1406" s="17">
        <v>-1.23</v>
      </c>
    </row>
    <row r="1407" spans="10:10" x14ac:dyDescent="0.2">
      <c r="J1407" s="17">
        <v>-1.68</v>
      </c>
    </row>
    <row r="1408" spans="10:10" x14ac:dyDescent="0.2">
      <c r="J1408" s="17">
        <v>-1.95</v>
      </c>
    </row>
    <row r="1409" spans="10:10" x14ac:dyDescent="0.2">
      <c r="J1409" s="16">
        <v>-1.1000000000000001</v>
      </c>
    </row>
    <row r="1410" spans="10:10" x14ac:dyDescent="0.2">
      <c r="J1410" s="12">
        <v>0.19</v>
      </c>
    </row>
    <row r="1411" spans="10:10" x14ac:dyDescent="0.2">
      <c r="J1411" s="17">
        <v>-1.02</v>
      </c>
    </row>
    <row r="1412" spans="10:10" x14ac:dyDescent="0.2">
      <c r="J1412" s="13">
        <v>-0.97</v>
      </c>
    </row>
    <row r="1413" spans="10:10" x14ac:dyDescent="0.2">
      <c r="J1413" s="15">
        <v>1.78</v>
      </c>
    </row>
    <row r="1414" spans="10:10" x14ac:dyDescent="0.2">
      <c r="J1414" s="13">
        <v>-0.81</v>
      </c>
    </row>
    <row r="1415" spans="10:10" x14ac:dyDescent="0.2">
      <c r="J1415" s="17">
        <v>-1.22</v>
      </c>
    </row>
    <row r="1416" spans="10:10" x14ac:dyDescent="0.2">
      <c r="J1416" s="15">
        <v>1.05</v>
      </c>
    </row>
    <row r="1417" spans="10:10" x14ac:dyDescent="0.2">
      <c r="J1417" s="13">
        <v>-0.33</v>
      </c>
    </row>
    <row r="1418" spans="10:10" x14ac:dyDescent="0.2">
      <c r="J1418" s="12">
        <v>0.15</v>
      </c>
    </row>
    <row r="1419" spans="10:10" x14ac:dyDescent="0.2">
      <c r="J1419" s="12">
        <v>7.0000000000000007E-2</v>
      </c>
    </row>
    <row r="1420" spans="10:10" x14ac:dyDescent="0.2">
      <c r="J1420" s="15">
        <v>1.1200000000000001</v>
      </c>
    </row>
    <row r="1421" spans="10:10" x14ac:dyDescent="0.2">
      <c r="J1421" s="16">
        <v>-1</v>
      </c>
    </row>
    <row r="1422" spans="10:10" x14ac:dyDescent="0.2">
      <c r="J1422" s="17">
        <v>-1.84</v>
      </c>
    </row>
    <row r="1423" spans="10:10" x14ac:dyDescent="0.2">
      <c r="J1423" s="17">
        <v>-1.03</v>
      </c>
    </row>
    <row r="1424" spans="10:10" x14ac:dyDescent="0.2">
      <c r="J1424" s="17">
        <v>-1.53</v>
      </c>
    </row>
    <row r="1425" spans="10:10" x14ac:dyDescent="0.2">
      <c r="J1425" s="12">
        <v>0.73</v>
      </c>
    </row>
    <row r="1426" spans="10:10" x14ac:dyDescent="0.2">
      <c r="J1426" s="12">
        <v>0.33</v>
      </c>
    </row>
    <row r="1427" spans="10:10" x14ac:dyDescent="0.2">
      <c r="J1427" s="17">
        <v>-2.33</v>
      </c>
    </row>
    <row r="1428" spans="10:10" x14ac:dyDescent="0.2">
      <c r="J1428" s="17">
        <v>-1.95</v>
      </c>
    </row>
    <row r="1429" spans="10:10" x14ac:dyDescent="0.2">
      <c r="J1429" s="12">
        <v>0.03</v>
      </c>
    </row>
    <row r="1430" spans="10:10" x14ac:dyDescent="0.2">
      <c r="J1430" s="13">
        <v>-0.17</v>
      </c>
    </row>
    <row r="1431" spans="10:10" x14ac:dyDescent="0.2">
      <c r="J1431" s="17">
        <v>-1.81</v>
      </c>
    </row>
    <row r="1432" spans="10:10" x14ac:dyDescent="0.2">
      <c r="J1432" s="17">
        <v>-1.43</v>
      </c>
    </row>
    <row r="1433" spans="10:10" x14ac:dyDescent="0.2">
      <c r="J1433" s="13">
        <v>-0.74</v>
      </c>
    </row>
    <row r="1434" spans="10:10" x14ac:dyDescent="0.2">
      <c r="J1434" s="16">
        <v>-1.9</v>
      </c>
    </row>
    <row r="1435" spans="10:10" x14ac:dyDescent="0.2">
      <c r="J1435" s="15">
        <v>4.63</v>
      </c>
    </row>
    <row r="1436" spans="10:10" x14ac:dyDescent="0.2">
      <c r="J1436" s="17">
        <v>-2.2799999999999998</v>
      </c>
    </row>
    <row r="1437" spans="10:10" x14ac:dyDescent="0.2">
      <c r="J1437" s="12">
        <v>0.79</v>
      </c>
    </row>
    <row r="1438" spans="10:10" x14ac:dyDescent="0.2">
      <c r="J1438" s="15">
        <v>1.73</v>
      </c>
    </row>
    <row r="1439" spans="10:10" x14ac:dyDescent="0.2">
      <c r="J1439" s="16">
        <v>-1</v>
      </c>
    </row>
    <row r="1440" spans="10:10" x14ac:dyDescent="0.2">
      <c r="J1440" s="12">
        <v>0.43</v>
      </c>
    </row>
    <row r="1441" spans="10:10" x14ac:dyDescent="0.2">
      <c r="J1441" s="13">
        <v>-0.24</v>
      </c>
    </row>
    <row r="1442" spans="10:10" x14ac:dyDescent="0.2">
      <c r="J1442" s="15">
        <v>2.73</v>
      </c>
    </row>
    <row r="1443" spans="10:10" x14ac:dyDescent="0.2">
      <c r="J1443" s="17">
        <v>-1.18</v>
      </c>
    </row>
    <row r="1444" spans="10:10" x14ac:dyDescent="0.2">
      <c r="J1444" s="13">
        <v>-0.06</v>
      </c>
    </row>
    <row r="1445" spans="10:10" x14ac:dyDescent="0.2">
      <c r="J1445" s="13">
        <v>-0.97</v>
      </c>
    </row>
    <row r="1446" spans="10:10" x14ac:dyDescent="0.2">
      <c r="J1446" s="14">
        <v>-0.3</v>
      </c>
    </row>
    <row r="1447" spans="10:10" x14ac:dyDescent="0.2">
      <c r="J1447" s="16">
        <v>-2.2000000000000002</v>
      </c>
    </row>
    <row r="1448" spans="10:10" x14ac:dyDescent="0.2">
      <c r="J1448" s="17">
        <v>-1.1399999999999999</v>
      </c>
    </row>
    <row r="1449" spans="10:10" x14ac:dyDescent="0.2">
      <c r="J1449" s="13">
        <v>-0.52</v>
      </c>
    </row>
    <row r="1450" spans="10:10" x14ac:dyDescent="0.2">
      <c r="J1450" s="17">
        <v>-3.25</v>
      </c>
    </row>
    <row r="1451" spans="10:10" x14ac:dyDescent="0.2">
      <c r="J1451" s="13">
        <v>-0.37</v>
      </c>
    </row>
    <row r="1452" spans="10:10" x14ac:dyDescent="0.2">
      <c r="J1452" s="13">
        <v>-0.53</v>
      </c>
    </row>
    <row r="1453" spans="10:10" x14ac:dyDescent="0.2">
      <c r="J1453" s="12">
        <v>0.91</v>
      </c>
    </row>
    <row r="1454" spans="10:10" x14ac:dyDescent="0.2">
      <c r="J1454" s="12">
        <v>0.39</v>
      </c>
    </row>
    <row r="1455" spans="10:10" x14ac:dyDescent="0.2">
      <c r="J1455" s="13">
        <v>-0.98</v>
      </c>
    </row>
    <row r="1456" spans="10:10" x14ac:dyDescent="0.2">
      <c r="J1456" s="17">
        <v>-2.92</v>
      </c>
    </row>
    <row r="1457" spans="10:10" x14ac:dyDescent="0.2">
      <c r="J1457" s="13">
        <v>-0.22</v>
      </c>
    </row>
    <row r="1458" spans="10:10" x14ac:dyDescent="0.2">
      <c r="J1458" s="17">
        <v>-1.34</v>
      </c>
    </row>
    <row r="1459" spans="10:10" x14ac:dyDescent="0.2">
      <c r="J1459" s="12">
        <v>0.56999999999999995</v>
      </c>
    </row>
    <row r="1460" spans="10:10" x14ac:dyDescent="0.2">
      <c r="J1460" s="17">
        <v>-2.04</v>
      </c>
    </row>
    <row r="1461" spans="10:10" x14ac:dyDescent="0.2">
      <c r="J1461" s="17">
        <v>-4.37</v>
      </c>
    </row>
    <row r="1462" spans="10:10" x14ac:dyDescent="0.2">
      <c r="J1462" s="17">
        <v>-1.36</v>
      </c>
    </row>
    <row r="1463" spans="10:10" x14ac:dyDescent="0.2">
      <c r="J1463" s="15">
        <v>6.37</v>
      </c>
    </row>
    <row r="1464" spans="10:10" x14ac:dyDescent="0.2">
      <c r="J1464" s="15">
        <v>3.49</v>
      </c>
    </row>
    <row r="1465" spans="10:10" x14ac:dyDescent="0.2">
      <c r="J1465" s="13">
        <v>-0.44</v>
      </c>
    </row>
  </sheetData>
  <sortState xmlns:xlrd2="http://schemas.microsoft.com/office/spreadsheetml/2017/richdata2" ref="A2:H765">
    <sortCondition ref="A2:A7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workbookViewId="0">
      <selection activeCell="C19" sqref="C19"/>
    </sheetView>
  </sheetViews>
  <sheetFormatPr defaultRowHeight="15" x14ac:dyDescent="0.2"/>
  <cols>
    <col min="3" max="3" width="12.23828125" bestFit="1" customWidth="1"/>
  </cols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0.16876912242249464</v>
      </c>
    </row>
    <row r="5" spans="1:9" x14ac:dyDescent="0.2">
      <c r="A5" s="23" t="s">
        <v>36</v>
      </c>
      <c r="B5" s="23">
        <v>2.8483016683258981E-2</v>
      </c>
    </row>
    <row r="6" spans="1:9" x14ac:dyDescent="0.2">
      <c r="A6" s="23" t="s">
        <v>37</v>
      </c>
      <c r="B6" s="23">
        <v>2.3273810338397097E-2</v>
      </c>
    </row>
    <row r="7" spans="1:9" x14ac:dyDescent="0.2">
      <c r="A7" s="23" t="s">
        <v>38</v>
      </c>
      <c r="B7" s="23">
        <v>1.5671355531732975E-2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4</v>
      </c>
      <c r="C12" s="23">
        <v>5.3714005784311599E-3</v>
      </c>
      <c r="D12" s="23">
        <v>1.3428501446077906E-3</v>
      </c>
      <c r="E12" s="23">
        <v>5.4678226965137018</v>
      </c>
      <c r="F12" s="23">
        <v>2.42303594912168E-4</v>
      </c>
    </row>
    <row r="13" spans="1:9" x14ac:dyDescent="0.2">
      <c r="A13" s="23" t="s">
        <v>42</v>
      </c>
      <c r="B13" s="23">
        <v>746</v>
      </c>
      <c r="C13" s="23">
        <v>0.18321117261467543</v>
      </c>
      <c r="D13" s="23">
        <v>2.4559138420197777E-4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0.18858257319310659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-2.2412546721292115E-3</v>
      </c>
      <c r="C17" s="23">
        <v>2.4349542786194405E-3</v>
      </c>
      <c r="D17" s="23">
        <v>-0.92045041330301614</v>
      </c>
      <c r="E17" s="23">
        <v>0.35763497877719419</v>
      </c>
      <c r="F17" s="23">
        <v>-7.0214328526388035E-3</v>
      </c>
      <c r="G17" s="23">
        <v>2.5389235083803805E-3</v>
      </c>
      <c r="H17" s="23">
        <v>-7.0214328526388035E-3</v>
      </c>
      <c r="I17" s="23">
        <v>2.5389235083803805E-3</v>
      </c>
    </row>
    <row r="18" spans="1:9" x14ac:dyDescent="0.2">
      <c r="A18" s="23" t="s">
        <v>57</v>
      </c>
      <c r="B18" s="23">
        <v>-9.5958632243337455E-5</v>
      </c>
      <c r="C18" s="23">
        <v>8.9062795794431812E-4</v>
      </c>
      <c r="D18" s="23">
        <v>-0.10774266784171262</v>
      </c>
      <c r="E18" s="23">
        <v>0.91422879236559373</v>
      </c>
      <c r="F18" s="23">
        <v>-1.8443940623866348E-3</v>
      </c>
      <c r="G18" s="23">
        <v>1.6524767978999598E-3</v>
      </c>
      <c r="H18" s="23">
        <v>-1.8443940623866348E-3</v>
      </c>
      <c r="I18" s="23">
        <v>1.6524767978999598E-3</v>
      </c>
    </row>
    <row r="19" spans="1:9" x14ac:dyDescent="0.2">
      <c r="A19" s="23" t="s">
        <v>58</v>
      </c>
      <c r="B19" s="23">
        <v>-4.5273980013853347E-3</v>
      </c>
      <c r="C19" s="23">
        <v>1.5584280664868383E-3</v>
      </c>
      <c r="D19" s="23">
        <v>-2.905105534701669</v>
      </c>
      <c r="E19" s="23">
        <v>3.7798943281659551E-3</v>
      </c>
      <c r="F19" s="23">
        <v>-7.5868245806547645E-3</v>
      </c>
      <c r="G19" s="23">
        <v>-1.4679714221159054E-3</v>
      </c>
      <c r="H19" s="23">
        <v>-7.5868245806547645E-3</v>
      </c>
      <c r="I19" s="23">
        <v>-1.4679714221159054E-3</v>
      </c>
    </row>
    <row r="20" spans="1:9" x14ac:dyDescent="0.2">
      <c r="A20" s="23" t="s">
        <v>59</v>
      </c>
      <c r="B20" s="23">
        <v>1.7399926449765419E-3</v>
      </c>
      <c r="C20" s="23">
        <v>1.3812981133917823E-3</v>
      </c>
      <c r="D20" s="23">
        <v>1.2596793031911004</v>
      </c>
      <c r="E20" s="23">
        <v>0.20817902332861549</v>
      </c>
      <c r="F20" s="23">
        <v>-9.7170143502816209E-4</v>
      </c>
      <c r="G20" s="23">
        <v>4.4516867249812459E-3</v>
      </c>
      <c r="H20" s="23">
        <v>-9.7170143502816209E-4</v>
      </c>
      <c r="I20" s="23">
        <v>4.4516867249812459E-3</v>
      </c>
    </row>
    <row r="21" spans="1:9" ht="15.75" thickBot="1" x14ac:dyDescent="0.25">
      <c r="A21" s="24" t="s">
        <v>60</v>
      </c>
      <c r="B21" s="24">
        <v>-0.72772248384201599</v>
      </c>
      <c r="C21" s="24">
        <v>0.21491355444745286</v>
      </c>
      <c r="D21" s="24">
        <v>-3.3861172028586348</v>
      </c>
      <c r="E21" s="24">
        <v>7.4601498373833139E-4</v>
      </c>
      <c r="F21" s="24">
        <v>-1.1496298242327943</v>
      </c>
      <c r="G21" s="24">
        <v>-0.30581514345123767</v>
      </c>
      <c r="H21" s="24">
        <v>-1.1496298242327943</v>
      </c>
      <c r="I21" s="24">
        <v>-0.30581514345123767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sqref="A1:I24"/>
    </sheetView>
  </sheetViews>
  <sheetFormatPr defaultRowHeight="15" x14ac:dyDescent="0.2"/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9.4291325112065824E-2</v>
      </c>
    </row>
    <row r="5" spans="1:9" x14ac:dyDescent="0.2">
      <c r="A5" s="23" t="s">
        <v>36</v>
      </c>
      <c r="B5" s="23">
        <v>8.8908539913892942E-3</v>
      </c>
    </row>
    <row r="6" spans="1:9" x14ac:dyDescent="0.2">
      <c r="A6" s="23" t="s">
        <v>37</v>
      </c>
      <c r="B6" s="23">
        <v>3.576595835847146E-3</v>
      </c>
    </row>
    <row r="7" spans="1:9" x14ac:dyDescent="0.2">
      <c r="A7" s="23" t="s">
        <v>38</v>
      </c>
      <c r="B7" s="23">
        <v>3.475778719443131E-2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4</v>
      </c>
      <c r="C12" s="23">
        <v>8.0847214545829438E-3</v>
      </c>
      <c r="D12" s="23">
        <v>2.0211803636457359E-3</v>
      </c>
      <c r="E12" s="23">
        <v>1.6730188355861439</v>
      </c>
      <c r="F12" s="23">
        <v>0.1543206147198882</v>
      </c>
    </row>
    <row r="13" spans="1:9" x14ac:dyDescent="0.2">
      <c r="A13" s="23" t="s">
        <v>42</v>
      </c>
      <c r="B13" s="23">
        <v>746</v>
      </c>
      <c r="C13" s="23">
        <v>0.90124541290741622</v>
      </c>
      <c r="D13" s="23">
        <v>1.208103770653373E-3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0.90933013436199917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-3.4658478213541429E-3</v>
      </c>
      <c r="C17" s="23">
        <v>5.4005298056731352E-3</v>
      </c>
      <c r="D17" s="23">
        <v>-0.64176070609097413</v>
      </c>
      <c r="E17" s="23">
        <v>0.52122570322607054</v>
      </c>
      <c r="F17" s="23">
        <v>-1.4067892782505191E-2</v>
      </c>
      <c r="G17" s="23">
        <v>7.1361971397969062E-3</v>
      </c>
      <c r="H17" s="23">
        <v>-1.4067892782505191E-2</v>
      </c>
      <c r="I17" s="23">
        <v>7.1361971397969062E-3</v>
      </c>
    </row>
    <row r="18" spans="1:9" x14ac:dyDescent="0.2">
      <c r="A18" s="23" t="s">
        <v>57</v>
      </c>
      <c r="B18" s="23">
        <v>4.1029494639674702E-3</v>
      </c>
      <c r="C18" s="23">
        <v>1.9753401018154496E-3</v>
      </c>
      <c r="D18" s="23">
        <v>2.07708508534638</v>
      </c>
      <c r="E18" s="23">
        <v>3.8135368751697277E-2</v>
      </c>
      <c r="F18" s="23">
        <v>2.2506241832755689E-4</v>
      </c>
      <c r="G18" s="23">
        <v>7.9808365096073839E-3</v>
      </c>
      <c r="H18" s="23">
        <v>2.2506241832755689E-4</v>
      </c>
      <c r="I18" s="23">
        <v>7.9808365096073839E-3</v>
      </c>
    </row>
    <row r="19" spans="1:9" x14ac:dyDescent="0.2">
      <c r="A19" s="23" t="s">
        <v>58</v>
      </c>
      <c r="B19" s="23">
        <v>2.4823874108300765E-3</v>
      </c>
      <c r="C19" s="23">
        <v>3.4564662248326005E-3</v>
      </c>
      <c r="D19" s="23">
        <v>0.71818650880938395</v>
      </c>
      <c r="E19" s="23">
        <v>0.47286715039783911</v>
      </c>
      <c r="F19" s="23">
        <v>-4.3031709771413906E-3</v>
      </c>
      <c r="G19" s="23">
        <v>9.2679457988015437E-3</v>
      </c>
      <c r="H19" s="23">
        <v>-4.3031709771413906E-3</v>
      </c>
      <c r="I19" s="23">
        <v>9.2679457988015437E-3</v>
      </c>
    </row>
    <row r="20" spans="1:9" x14ac:dyDescent="0.2">
      <c r="A20" s="23" t="s">
        <v>59</v>
      </c>
      <c r="B20" s="23">
        <v>2.3168753655770083E-3</v>
      </c>
      <c r="C20" s="23">
        <v>3.0636064493670414E-3</v>
      </c>
      <c r="D20" s="23">
        <v>0.75625750365412892</v>
      </c>
      <c r="E20" s="23">
        <v>0.44973356652431984</v>
      </c>
      <c r="F20" s="23">
        <v>-3.6974407271407224E-3</v>
      </c>
      <c r="G20" s="23">
        <v>8.3311914582947389E-3</v>
      </c>
      <c r="H20" s="23">
        <v>-3.6974407271407224E-3</v>
      </c>
      <c r="I20" s="23">
        <v>8.3311914582947389E-3</v>
      </c>
    </row>
    <row r="21" spans="1:9" ht="15.75" thickBot="1" x14ac:dyDescent="0.25">
      <c r="A21" s="24" t="s">
        <v>60</v>
      </c>
      <c r="B21" s="24">
        <v>-0.47685451957647884</v>
      </c>
      <c r="C21" s="24">
        <v>0.47666071869517151</v>
      </c>
      <c r="D21" s="24">
        <v>-1.000406580348886</v>
      </c>
      <c r="E21" s="24">
        <v>0.31743816737266689</v>
      </c>
      <c r="F21" s="24">
        <v>-1.4126105569771261</v>
      </c>
      <c r="G21" s="24">
        <v>0.45890151782416844</v>
      </c>
      <c r="H21" s="24">
        <v>-1.4126105569771261</v>
      </c>
      <c r="I21" s="24">
        <v>0.45890151782416844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sqref="A1:I24"/>
    </sheetView>
  </sheetViews>
  <sheetFormatPr defaultRowHeight="15" x14ac:dyDescent="0.2"/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0.29850283236320385</v>
      </c>
    </row>
    <row r="5" spans="1:9" x14ac:dyDescent="0.2">
      <c r="A5" s="23" t="s">
        <v>36</v>
      </c>
      <c r="B5" s="23">
        <v>8.9103940928854986E-2</v>
      </c>
    </row>
    <row r="6" spans="1:9" x14ac:dyDescent="0.2">
      <c r="A6" s="23" t="s">
        <v>37</v>
      </c>
      <c r="B6" s="23">
        <v>8.4219779754210772E-2</v>
      </c>
    </row>
    <row r="7" spans="1:9" x14ac:dyDescent="0.2">
      <c r="A7" s="23" t="s">
        <v>38</v>
      </c>
      <c r="B7" s="23">
        <v>9.8489091382846072E-3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4</v>
      </c>
      <c r="C12" s="23">
        <v>7.0785316570947526E-3</v>
      </c>
      <c r="D12" s="23">
        <v>1.7696329142736882E-3</v>
      </c>
      <c r="E12" s="23">
        <v>18.243448105568678</v>
      </c>
      <c r="F12" s="23">
        <v>2.6082614866465315E-14</v>
      </c>
    </row>
    <row r="13" spans="1:9" x14ac:dyDescent="0.2">
      <c r="A13" s="23" t="s">
        <v>42</v>
      </c>
      <c r="B13" s="23">
        <v>746</v>
      </c>
      <c r="C13" s="23">
        <v>7.236275436578278E-2</v>
      </c>
      <c r="D13" s="23">
        <v>9.7001011214186035E-5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7.9441286022877533E-2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1.6650722780763051E-3</v>
      </c>
      <c r="C17" s="23">
        <v>1.5302852007562273E-3</v>
      </c>
      <c r="D17" s="23">
        <v>1.0880797104052693</v>
      </c>
      <c r="E17" s="23">
        <v>0.27691131930217677</v>
      </c>
      <c r="F17" s="23">
        <v>-1.339105661050792E-3</v>
      </c>
      <c r="G17" s="23">
        <v>4.6692502172034026E-3</v>
      </c>
      <c r="H17" s="23">
        <v>-1.339105661050792E-3</v>
      </c>
      <c r="I17" s="23">
        <v>4.6692502172034026E-3</v>
      </c>
    </row>
    <row r="18" spans="1:9" x14ac:dyDescent="0.2">
      <c r="A18" s="23" t="s">
        <v>57</v>
      </c>
      <c r="B18" s="23">
        <v>1.7841788054527005E-4</v>
      </c>
      <c r="C18" s="23">
        <v>5.5972910678005379E-4</v>
      </c>
      <c r="D18" s="23">
        <v>0.31875755322365174</v>
      </c>
      <c r="E18" s="23">
        <v>0.74999959291008289</v>
      </c>
      <c r="F18" s="23">
        <v>-9.2041378406534382E-4</v>
      </c>
      <c r="G18" s="23">
        <v>1.277249545155884E-3</v>
      </c>
      <c r="H18" s="23">
        <v>-9.2041378406534382E-4</v>
      </c>
      <c r="I18" s="23">
        <v>1.277249545155884E-3</v>
      </c>
    </row>
    <row r="19" spans="1:9" x14ac:dyDescent="0.2">
      <c r="A19" s="23" t="s">
        <v>58</v>
      </c>
      <c r="B19" s="23">
        <v>-1.4769098319127154E-3</v>
      </c>
      <c r="C19" s="23">
        <v>9.794185572716775E-4</v>
      </c>
      <c r="D19" s="23">
        <v>-1.5079455264017838</v>
      </c>
      <c r="E19" s="23">
        <v>0.13199182739653986</v>
      </c>
      <c r="F19" s="23">
        <v>-3.3996544428344122E-3</v>
      </c>
      <c r="G19" s="23">
        <v>4.4583477900898144E-4</v>
      </c>
      <c r="H19" s="23">
        <v>-3.3996544428344122E-3</v>
      </c>
      <c r="I19" s="23">
        <v>4.4583477900898144E-4</v>
      </c>
    </row>
    <row r="20" spans="1:9" x14ac:dyDescent="0.2">
      <c r="A20" s="23" t="s">
        <v>59</v>
      </c>
      <c r="B20" s="23">
        <v>3.8520514605476128E-4</v>
      </c>
      <c r="C20" s="23">
        <v>8.6809846054045937E-4</v>
      </c>
      <c r="D20" s="23">
        <v>0.44373439599805403</v>
      </c>
      <c r="E20" s="23">
        <v>0.65736329518566472</v>
      </c>
      <c r="F20" s="23">
        <v>-1.3190015226479585E-3</v>
      </c>
      <c r="G20" s="23">
        <v>2.0894118147574809E-3</v>
      </c>
      <c r="H20" s="23">
        <v>-1.3190015226479585E-3</v>
      </c>
      <c r="I20" s="23">
        <v>2.0894118147574809E-3</v>
      </c>
    </row>
    <row r="21" spans="1:9" ht="15.75" thickBot="1" x14ac:dyDescent="0.25">
      <c r="A21" s="24" t="s">
        <v>60</v>
      </c>
      <c r="B21" s="24">
        <v>-1.1319848159679107</v>
      </c>
      <c r="C21" s="24">
        <v>0.1350657935143329</v>
      </c>
      <c r="D21" s="24">
        <v>-8.3809881578031593</v>
      </c>
      <c r="E21" s="24">
        <v>2.6025662330911168E-16</v>
      </c>
      <c r="F21" s="24">
        <v>-1.3971391002842837</v>
      </c>
      <c r="G21" s="24">
        <v>-0.86683053165153767</v>
      </c>
      <c r="H21" s="24">
        <v>-1.3971391002842837</v>
      </c>
      <c r="I21" s="24">
        <v>-0.86683053165153767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sqref="A1:I21"/>
    </sheetView>
  </sheetViews>
  <sheetFormatPr defaultRowHeight="15" x14ac:dyDescent="0.2"/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0.61429487073453659</v>
      </c>
    </row>
    <row r="5" spans="1:9" x14ac:dyDescent="0.2">
      <c r="A5" s="23" t="s">
        <v>36</v>
      </c>
      <c r="B5" s="23">
        <v>0.37735818821076106</v>
      </c>
    </row>
    <row r="6" spans="1:9" x14ac:dyDescent="0.2">
      <c r="A6" s="23" t="s">
        <v>37</v>
      </c>
      <c r="B6" s="23">
        <v>0.37652689073173673</v>
      </c>
    </row>
    <row r="7" spans="1:9" x14ac:dyDescent="0.2">
      <c r="A7" s="23" t="s">
        <v>38</v>
      </c>
      <c r="B7" s="23">
        <v>1.2520711548604362E-2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1</v>
      </c>
      <c r="C12" s="23">
        <v>7.1163178148273942E-2</v>
      </c>
      <c r="D12" s="23">
        <v>7.1163178148273942E-2</v>
      </c>
      <c r="E12" s="23">
        <v>453.93880979122662</v>
      </c>
      <c r="F12" s="23">
        <v>4.1444279699123768E-79</v>
      </c>
    </row>
    <row r="13" spans="1:9" x14ac:dyDescent="0.2">
      <c r="A13" s="23" t="s">
        <v>42</v>
      </c>
      <c r="B13" s="23">
        <v>749</v>
      </c>
      <c r="C13" s="23">
        <v>0.11741939504483265</v>
      </c>
      <c r="D13" s="23">
        <v>1.5676821768335466E-4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0.18858257319310659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-1.0224640721778304E-3</v>
      </c>
      <c r="C17" s="23">
        <v>6.2989864157231106E-4</v>
      </c>
      <c r="D17" s="23">
        <v>-1.6232199987376121</v>
      </c>
      <c r="E17" s="23">
        <v>0.10496315570968144</v>
      </c>
      <c r="F17" s="23">
        <v>-2.2590409438370453E-3</v>
      </c>
      <c r="G17" s="23">
        <v>2.1411279948138455E-4</v>
      </c>
      <c r="H17" s="23">
        <v>-2.2590409438370453E-3</v>
      </c>
      <c r="I17" s="23">
        <v>2.1411279948138455E-4</v>
      </c>
    </row>
    <row r="18" spans="1:9" ht="15.75" thickBot="1" x14ac:dyDescent="0.25">
      <c r="A18" s="24" t="s">
        <v>57</v>
      </c>
      <c r="B18" s="24">
        <v>0.86499856050836621</v>
      </c>
      <c r="C18" s="24">
        <v>4.0599130023976991E-2</v>
      </c>
      <c r="D18" s="24">
        <v>21.305839804880456</v>
      </c>
      <c r="E18" s="24">
        <v>4.1444279699101338E-79</v>
      </c>
      <c r="F18" s="24">
        <v>0.78529693570120762</v>
      </c>
      <c r="G18" s="24">
        <v>0.9447001853155248</v>
      </c>
      <c r="H18" s="24">
        <v>0.78529693570120762</v>
      </c>
      <c r="I18" s="24">
        <v>0.9447001853155248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selection sqref="A1:I21"/>
    </sheetView>
  </sheetViews>
  <sheetFormatPr defaultRowHeight="15" x14ac:dyDescent="0.2"/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0.70900955315087832</v>
      </c>
    </row>
    <row r="5" spans="1:9" x14ac:dyDescent="0.2">
      <c r="A5" s="23" t="s">
        <v>36</v>
      </c>
      <c r="B5" s="23">
        <v>0.50269454645920808</v>
      </c>
    </row>
    <row r="6" spans="1:9" x14ac:dyDescent="0.2">
      <c r="A6" s="23" t="s">
        <v>37</v>
      </c>
      <c r="B6" s="23">
        <v>0.50203058724219762</v>
      </c>
    </row>
    <row r="7" spans="1:9" x14ac:dyDescent="0.2">
      <c r="A7" s="23" t="s">
        <v>38</v>
      </c>
      <c r="B7" s="23">
        <v>2.4571490065011473E-2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1</v>
      </c>
      <c r="C12" s="23">
        <v>0.4571152994747959</v>
      </c>
      <c r="D12" s="23">
        <v>0.4571152994747959</v>
      </c>
      <c r="E12" s="23">
        <v>757.11660231584926</v>
      </c>
      <c r="F12" s="23">
        <v>9.9707643580229556E-116</v>
      </c>
    </row>
    <row r="13" spans="1:9" x14ac:dyDescent="0.2">
      <c r="A13" s="23" t="s">
        <v>42</v>
      </c>
      <c r="B13" s="23">
        <v>749</v>
      </c>
      <c r="C13" s="23">
        <v>0.45221483488720327</v>
      </c>
      <c r="D13" s="23">
        <v>6.0375812401495762E-4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0.90933013436199917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1.5019150027054295E-2</v>
      </c>
      <c r="C17" s="23">
        <v>1.236155641256945E-3</v>
      </c>
      <c r="D17" s="23">
        <v>12.149885925191876</v>
      </c>
      <c r="E17" s="23">
        <v>3.9358257041568665E-31</v>
      </c>
      <c r="F17" s="23">
        <v>1.2592408048481663E-2</v>
      </c>
      <c r="G17" s="23">
        <v>1.7445892005626927E-2</v>
      </c>
      <c r="H17" s="23">
        <v>1.2592408048481663E-2</v>
      </c>
      <c r="I17" s="23">
        <v>1.7445892005626927E-2</v>
      </c>
    </row>
    <row r="18" spans="1:9" ht="15.75" thickBot="1" x14ac:dyDescent="0.25">
      <c r="A18" s="24" t="s">
        <v>57</v>
      </c>
      <c r="B18" s="24">
        <v>2.192303088112856</v>
      </c>
      <c r="C18" s="24">
        <v>7.9674475061559613E-2</v>
      </c>
      <c r="D18" s="24">
        <v>27.515751894430394</v>
      </c>
      <c r="E18" s="24">
        <v>9.9707643580218218E-116</v>
      </c>
      <c r="F18" s="24">
        <v>2.0358912360777643</v>
      </c>
      <c r="G18" s="24">
        <v>2.3487149401479477</v>
      </c>
      <c r="H18" s="24">
        <v>2.0358912360777643</v>
      </c>
      <c r="I18" s="24">
        <v>2.3487149401479477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sqref="A1:I21"/>
    </sheetView>
  </sheetViews>
  <sheetFormatPr defaultRowHeight="15" x14ac:dyDescent="0.2"/>
  <sheetData>
    <row r="1" spans="1:9" x14ac:dyDescent="0.2">
      <c r="A1" t="s">
        <v>33</v>
      </c>
    </row>
    <row r="2" spans="1:9" ht="15.75" thickBot="1" x14ac:dyDescent="0.25"/>
    <row r="3" spans="1:9" x14ac:dyDescent="0.2">
      <c r="A3" s="26" t="s">
        <v>34</v>
      </c>
      <c r="B3" s="26"/>
    </row>
    <row r="4" spans="1:9" x14ac:dyDescent="0.2">
      <c r="A4" s="23" t="s">
        <v>35</v>
      </c>
      <c r="B4" s="23">
        <v>0.46961614305697574</v>
      </c>
    </row>
    <row r="5" spans="1:9" x14ac:dyDescent="0.2">
      <c r="A5" s="23" t="s">
        <v>36</v>
      </c>
      <c r="B5" s="23">
        <v>0.22053932181970989</v>
      </c>
    </row>
    <row r="6" spans="1:9" x14ac:dyDescent="0.2">
      <c r="A6" s="23" t="s">
        <v>37</v>
      </c>
      <c r="B6" s="23">
        <v>0.21949865335751992</v>
      </c>
    </row>
    <row r="7" spans="1:9" x14ac:dyDescent="0.2">
      <c r="A7" s="23" t="s">
        <v>38</v>
      </c>
      <c r="B7" s="23">
        <v>9.0924166732404971E-3</v>
      </c>
    </row>
    <row r="8" spans="1:9" ht="15.75" thickBot="1" x14ac:dyDescent="0.25">
      <c r="A8" s="24" t="s">
        <v>39</v>
      </c>
      <c r="B8" s="24">
        <v>751</v>
      </c>
    </row>
    <row r="10" spans="1:9" ht="15.75" thickBot="1" x14ac:dyDescent="0.25">
      <c r="A10" t="s">
        <v>40</v>
      </c>
    </row>
    <row r="11" spans="1:9" x14ac:dyDescent="0.2">
      <c r="A11" s="25"/>
      <c r="B11" s="25" t="s">
        <v>45</v>
      </c>
      <c r="C11" s="25" t="s">
        <v>46</v>
      </c>
      <c r="D11" s="25" t="s">
        <v>47</v>
      </c>
      <c r="E11" s="25" t="s">
        <v>48</v>
      </c>
      <c r="F11" s="25" t="s">
        <v>49</v>
      </c>
    </row>
    <row r="12" spans="1:9" x14ac:dyDescent="0.2">
      <c r="A12" s="23" t="s">
        <v>41</v>
      </c>
      <c r="B12" s="23">
        <v>1</v>
      </c>
      <c r="C12" s="23">
        <v>1.7519927343971009E-2</v>
      </c>
      <c r="D12" s="23">
        <v>1.7519927343971009E-2</v>
      </c>
      <c r="E12" s="23">
        <v>211.92082765303456</v>
      </c>
      <c r="F12" s="23">
        <v>1.8523488161448657E-42</v>
      </c>
    </row>
    <row r="13" spans="1:9" x14ac:dyDescent="0.2">
      <c r="A13" s="23" t="s">
        <v>42</v>
      </c>
      <c r="B13" s="23">
        <v>749</v>
      </c>
      <c r="C13" s="23">
        <v>6.1921358678906524E-2</v>
      </c>
      <c r="D13" s="23">
        <v>8.2672040959821795E-5</v>
      </c>
      <c r="E13" s="23"/>
      <c r="F13" s="23"/>
    </row>
    <row r="14" spans="1:9" ht="15.75" thickBot="1" x14ac:dyDescent="0.25">
      <c r="A14" s="24" t="s">
        <v>43</v>
      </c>
      <c r="B14" s="24">
        <v>750</v>
      </c>
      <c r="C14" s="24">
        <v>7.9441286022877533E-2</v>
      </c>
      <c r="D14" s="24"/>
      <c r="E14" s="24"/>
      <c r="F14" s="24"/>
    </row>
    <row r="15" spans="1:9" ht="15.75" thickBot="1" x14ac:dyDescent="0.25"/>
    <row r="16" spans="1:9" x14ac:dyDescent="0.2">
      <c r="A16" s="25"/>
      <c r="B16" s="25" t="s">
        <v>50</v>
      </c>
      <c r="C16" s="25" t="s">
        <v>38</v>
      </c>
      <c r="D16" s="25" t="s">
        <v>51</v>
      </c>
      <c r="E16" s="25" t="s">
        <v>52</v>
      </c>
      <c r="F16" s="25" t="s">
        <v>53</v>
      </c>
      <c r="G16" s="25" t="s">
        <v>54</v>
      </c>
      <c r="H16" s="25" t="s">
        <v>55</v>
      </c>
      <c r="I16" s="25" t="s">
        <v>56</v>
      </c>
    </row>
    <row r="17" spans="1:9" x14ac:dyDescent="0.2">
      <c r="A17" s="23" t="s">
        <v>44</v>
      </c>
      <c r="B17" s="23">
        <v>-6.2056678886383398E-3</v>
      </c>
      <c r="C17" s="23">
        <v>4.5742615256734529E-4</v>
      </c>
      <c r="D17" s="23">
        <v>-13.566491233193538</v>
      </c>
      <c r="E17" s="23">
        <v>1.1990046911107939E-37</v>
      </c>
      <c r="F17" s="23">
        <v>-7.1036577610167264E-3</v>
      </c>
      <c r="G17" s="23">
        <v>-5.3076780162599532E-3</v>
      </c>
      <c r="H17" s="23">
        <v>-7.1036577610167264E-3</v>
      </c>
      <c r="I17" s="23">
        <v>-5.3076780162599532E-3</v>
      </c>
    </row>
    <row r="18" spans="1:9" ht="15.75" thickBot="1" x14ac:dyDescent="0.25">
      <c r="A18" s="24" t="s">
        <v>57</v>
      </c>
      <c r="B18" s="24">
        <v>0.42919422272882057</v>
      </c>
      <c r="C18" s="24">
        <v>2.9482685973243623E-2</v>
      </c>
      <c r="D18" s="24">
        <v>14.55750073512049</v>
      </c>
      <c r="E18" s="24">
        <v>1.85234881614558E-42</v>
      </c>
      <c r="F18" s="24">
        <v>0.37131569246575863</v>
      </c>
      <c r="G18" s="24">
        <v>0.48707275299188252</v>
      </c>
      <c r="H18" s="24">
        <v>0.37131569246575863</v>
      </c>
      <c r="I18" s="24">
        <v>0.48707275299188252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fama french(jpm)</vt:lpstr>
      <vt:lpstr>fama french nvidia</vt:lpstr>
      <vt:lpstr>fama french ko</vt:lpstr>
      <vt:lpstr>jensen alpha</vt:lpstr>
      <vt:lpstr>alph(nvidia)</vt:lpstr>
      <vt:lpstr>jensen alphako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Malik</dc:creator>
  <cp:lastModifiedBy>robilashiq@hotmail.com</cp:lastModifiedBy>
  <dcterms:created xsi:type="dcterms:W3CDTF">2025-05-10T04:25:12Z</dcterms:created>
  <dcterms:modified xsi:type="dcterms:W3CDTF">2025-06-05T14:40:22Z</dcterms:modified>
</cp:coreProperties>
</file>