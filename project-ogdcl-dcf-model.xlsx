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661b0a959356d111/Personal Financial Analysis Course/OGDC/"/>
    </mc:Choice>
  </mc:AlternateContent>
  <xr:revisionPtr revIDLastSave="0" documentId="8_{2C739E7B-1F6B-4E6E-9692-CCC6B4179E17}" xr6:coauthVersionLast="47" xr6:coauthVersionMax="47" xr10:uidLastSave="{00000000-0000-0000-0000-000000000000}"/>
  <bookViews>
    <workbookView xWindow="-120" yWindow="-120" windowWidth="20730" windowHeight="11160" tabRatio="500" activeTab="2" xr2:uid="{00000000-000D-0000-FFFF-FFFF00000000}"/>
  </bookViews>
  <sheets>
    <sheet name="OGDCL" sheetId="14" r:id="rId1"/>
    <sheet name="DCF_INPUT_CALCS" sheetId="2" r:id="rId2"/>
    <sheet name="INPUTS" sheetId="3" r:id="rId3"/>
    <sheet name="INCOME_S" sheetId="4" r:id="rId4"/>
    <sheet name="BALANCE_S" sheetId="5" r:id="rId5"/>
    <sheet name="CF_S" sheetId="6" r:id="rId6"/>
    <sheet name="COMMON_SIZE" sheetId="7" r:id="rId7"/>
    <sheet name="RATIOS" sheetId="8" r:id="rId8"/>
    <sheet name="POL_PEER" sheetId="9" r:id="rId9"/>
    <sheet name="PEER_COMP" sheetId="10" r:id="rId10"/>
    <sheet name="FORECAST" sheetId="11" r:id="rId11"/>
    <sheet name="DCF" sheetId="12" r:id="rId12"/>
    <sheet name="DASHBOARD" sheetId="13" r:id="rId13"/>
  </sheets>
  <calcPr calcId="181029" iterateDelta="1E-4"/>
  <fileRecoveryPr repairLoad="1"/>
  <extLst>
    <ext xmlns:loext="http://schemas.libreoffice.org/" uri="{7626C862-2A13-11E5-B345-FEFF819CDC9F}">
      <loext:extCalcPr stringRefSyntax="ExcelA1"/>
    </ext>
  </extLst>
</workbook>
</file>

<file path=xl/calcChain.xml><?xml version="1.0" encoding="utf-8"?>
<calcChain xmlns="http://schemas.openxmlformats.org/spreadsheetml/2006/main">
  <c r="G21" i="13" l="1"/>
  <c r="G20" i="13"/>
  <c r="E15" i="13"/>
  <c r="E14" i="13"/>
  <c r="E13" i="13"/>
  <c r="C13" i="12"/>
  <c r="C14" i="12" s="1"/>
  <c r="B7" i="12"/>
  <c r="B6" i="12"/>
  <c r="B5" i="12"/>
  <c r="B4" i="12"/>
  <c r="C11" i="12" s="1"/>
  <c r="D7" i="11"/>
  <c r="C7" i="11"/>
  <c r="B7" i="11"/>
  <c r="C11" i="10"/>
  <c r="B4" i="10"/>
  <c r="C20" i="9"/>
  <c r="H13" i="9"/>
  <c r="C22" i="9" s="1"/>
  <c r="C13" i="10" s="1"/>
  <c r="G13" i="9"/>
  <c r="F13" i="9"/>
  <c r="H12" i="9"/>
  <c r="G12" i="9"/>
  <c r="F12" i="9"/>
  <c r="H11" i="9"/>
  <c r="G11" i="9"/>
  <c r="F11" i="9"/>
  <c r="H10" i="9"/>
  <c r="C23" i="9" s="1"/>
  <c r="C24" i="9" s="1"/>
  <c r="C14" i="10" s="1"/>
  <c r="G10" i="9"/>
  <c r="F10" i="9"/>
  <c r="H9" i="9"/>
  <c r="G9" i="9"/>
  <c r="F9" i="9"/>
  <c r="H8" i="9"/>
  <c r="G8" i="9"/>
  <c r="F8" i="9"/>
  <c r="H7" i="9"/>
  <c r="G7" i="9"/>
  <c r="F7" i="9"/>
  <c r="H6" i="9"/>
  <c r="C19" i="9" s="1"/>
  <c r="G6" i="9"/>
  <c r="F6" i="9"/>
  <c r="D14" i="8"/>
  <c r="D16" i="8" s="1"/>
  <c r="B10" i="7"/>
  <c r="B6" i="7"/>
  <c r="C10" i="6"/>
  <c r="D7" i="6"/>
  <c r="D10" i="6" s="1"/>
  <c r="E9" i="13" s="1"/>
  <c r="C7" i="6"/>
  <c r="B7" i="6"/>
  <c r="B10" i="6" s="1"/>
  <c r="C25" i="5"/>
  <c r="C26" i="5" s="1"/>
  <c r="D24" i="5"/>
  <c r="D25" i="5" s="1"/>
  <c r="D26" i="5" s="1"/>
  <c r="C24" i="5"/>
  <c r="B24" i="5"/>
  <c r="D21" i="5"/>
  <c r="D25" i="7" s="1"/>
  <c r="C21" i="5"/>
  <c r="C14" i="8" s="1"/>
  <c r="C16" i="8" s="1"/>
  <c r="B21" i="5"/>
  <c r="B14" i="8" s="1"/>
  <c r="B16" i="8" s="1"/>
  <c r="B18" i="5"/>
  <c r="B10" i="8" s="1"/>
  <c r="D15" i="5"/>
  <c r="D18" i="5" s="1"/>
  <c r="C15" i="5"/>
  <c r="C18" i="5" s="1"/>
  <c r="B15" i="5"/>
  <c r="D11" i="5"/>
  <c r="D22" i="7" s="1"/>
  <c r="D8" i="5"/>
  <c r="D21" i="7" s="1"/>
  <c r="C8" i="5"/>
  <c r="C11" i="5" s="1"/>
  <c r="B8" i="5"/>
  <c r="B9" i="8" s="1"/>
  <c r="D11" i="4"/>
  <c r="F11" i="4" s="1"/>
  <c r="C11" i="4"/>
  <c r="C12" i="7" s="1"/>
  <c r="B11" i="4"/>
  <c r="B12" i="7" s="1"/>
  <c r="D9" i="4"/>
  <c r="D10" i="7" s="1"/>
  <c r="C9" i="4"/>
  <c r="C10" i="7" s="1"/>
  <c r="B9" i="4"/>
  <c r="D7" i="4"/>
  <c r="F7" i="4" s="1"/>
  <c r="C7" i="4"/>
  <c r="C8" i="7" s="1"/>
  <c r="B7" i="4"/>
  <c r="B8" i="7" s="1"/>
  <c r="D5" i="4"/>
  <c r="D6" i="7" s="1"/>
  <c r="C5" i="4"/>
  <c r="C6" i="4" s="1"/>
  <c r="B5" i="4"/>
  <c r="B6" i="4" s="1"/>
  <c r="D4" i="4"/>
  <c r="D5" i="7" s="1"/>
  <c r="C4" i="4"/>
  <c r="C13" i="6" s="1"/>
  <c r="B4" i="4"/>
  <c r="B13" i="13" s="1"/>
  <c r="E12" i="2"/>
  <c r="E11" i="2"/>
  <c r="F10" i="2" s="1"/>
  <c r="E10" i="2"/>
  <c r="D24" i="7" l="1"/>
  <c r="D22" i="5"/>
  <c r="D10" i="8"/>
  <c r="B7" i="7"/>
  <c r="B8" i="4"/>
  <c r="B4" i="8"/>
  <c r="C7" i="7"/>
  <c r="C4" i="8"/>
  <c r="C8" i="4"/>
  <c r="C20" i="7"/>
  <c r="C19" i="7"/>
  <c r="C22" i="7"/>
  <c r="C18" i="7"/>
  <c r="C23" i="7"/>
  <c r="C10" i="8"/>
  <c r="C24" i="7"/>
  <c r="C22" i="5"/>
  <c r="E4" i="4"/>
  <c r="D6" i="4"/>
  <c r="B5" i="7"/>
  <c r="C6" i="7"/>
  <c r="D19" i="7"/>
  <c r="D23" i="7"/>
  <c r="D9" i="8"/>
  <c r="C21" i="9"/>
  <c r="C12" i="10" s="1"/>
  <c r="C12" i="12"/>
  <c r="D8" i="7"/>
  <c r="D12" i="7"/>
  <c r="D20" i="7"/>
  <c r="C9" i="8"/>
  <c r="B14" i="11"/>
  <c r="F4" i="4"/>
  <c r="F5" i="4"/>
  <c r="F9" i="4"/>
  <c r="B11" i="5"/>
  <c r="B21" i="7" s="1"/>
  <c r="B22" i="5"/>
  <c r="B13" i="6"/>
  <c r="C5" i="7"/>
  <c r="D18" i="7"/>
  <c r="C21" i="7"/>
  <c r="B24" i="7"/>
  <c r="C25" i="7"/>
  <c r="B10" i="10"/>
  <c r="A6" i="13"/>
  <c r="B14" i="13"/>
  <c r="B15" i="13"/>
  <c r="D13" i="6"/>
  <c r="D4" i="8" l="1"/>
  <c r="F6" i="4"/>
  <c r="D7" i="7"/>
  <c r="D8" i="4"/>
  <c r="B13" i="10"/>
  <c r="A9" i="13"/>
  <c r="D8" i="11"/>
  <c r="C8" i="11"/>
  <c r="B8" i="11"/>
  <c r="B23" i="7"/>
  <c r="B19" i="7"/>
  <c r="B20" i="7"/>
  <c r="B22" i="7"/>
  <c r="B18" i="7"/>
  <c r="B19" i="11"/>
  <c r="B20" i="13"/>
  <c r="B18" i="11"/>
  <c r="C14" i="11"/>
  <c r="B25" i="7"/>
  <c r="C10" i="4"/>
  <c r="C11" i="8"/>
  <c r="C9" i="7"/>
  <c r="C5" i="8"/>
  <c r="D14" i="13" s="1"/>
  <c r="B5" i="8"/>
  <c r="D13" i="13" s="1"/>
  <c r="B10" i="4"/>
  <c r="B11" i="8"/>
  <c r="B9" i="7"/>
  <c r="B11" i="7" l="1"/>
  <c r="B12" i="4"/>
  <c r="C11" i="7"/>
  <c r="C12" i="4"/>
  <c r="D11" i="8"/>
  <c r="D9" i="7"/>
  <c r="F8" i="4"/>
  <c r="D5" i="8"/>
  <c r="D10" i="4"/>
  <c r="B21" i="13"/>
  <c r="D14" i="11"/>
  <c r="C18" i="11"/>
  <c r="C19" i="11"/>
  <c r="C6" i="13" l="1"/>
  <c r="B6" i="11"/>
  <c r="B11" i="10"/>
  <c r="D15" i="13"/>
  <c r="C14" i="13"/>
  <c r="C6" i="8"/>
  <c r="C13" i="8"/>
  <c r="C15" i="8" s="1"/>
  <c r="C7" i="8"/>
  <c r="C13" i="7"/>
  <c r="C12" i="8"/>
  <c r="C8" i="8"/>
  <c r="B22" i="13"/>
  <c r="D18" i="11"/>
  <c r="D19" i="11"/>
  <c r="C13" i="13"/>
  <c r="B13" i="8"/>
  <c r="B15" i="8" s="1"/>
  <c r="B6" i="8"/>
  <c r="B12" i="8"/>
  <c r="B7" i="8"/>
  <c r="B13" i="7"/>
  <c r="B8" i="8"/>
  <c r="F10" i="4"/>
  <c r="D11" i="7"/>
  <c r="D12" i="4"/>
  <c r="C15" i="13" l="1"/>
  <c r="D7" i="8"/>
  <c r="D13" i="7"/>
  <c r="D6" i="8"/>
  <c r="E6" i="13" s="1"/>
  <c r="D12" i="8"/>
  <c r="C9" i="13" s="1"/>
  <c r="D8" i="8"/>
  <c r="F12" i="4"/>
  <c r="D13" i="8"/>
  <c r="D15" i="8" s="1"/>
  <c r="B14" i="10" s="1"/>
  <c r="B15" i="11"/>
  <c r="C6" i="11"/>
  <c r="D6" i="11" l="1"/>
  <c r="D15" i="11" s="1"/>
  <c r="C15" i="11"/>
  <c r="G6" i="13"/>
  <c r="B12" i="10"/>
  <c r="B16" i="11"/>
  <c r="B17" i="11" s="1"/>
  <c r="B20" i="11" s="1"/>
  <c r="C20" i="13" l="1"/>
  <c r="B11" i="12"/>
  <c r="D11" i="12" s="1"/>
  <c r="D20" i="13" s="1"/>
  <c r="C16" i="11"/>
  <c r="C17" i="11" s="1"/>
  <c r="C20" i="11" s="1"/>
  <c r="D17" i="11"/>
  <c r="D20" i="11" s="1"/>
  <c r="D16" i="11"/>
  <c r="C21" i="13" l="1"/>
  <c r="B12" i="12"/>
  <c r="D12" i="12" s="1"/>
  <c r="D21" i="13" s="1"/>
  <c r="C25" i="12"/>
  <c r="E26" i="12"/>
  <c r="D23" i="12"/>
  <c r="F24" i="12"/>
  <c r="F27" i="12"/>
  <c r="E24" i="12"/>
  <c r="B24" i="12"/>
  <c r="F23" i="12"/>
  <c r="B26" i="12"/>
  <c r="C24" i="12"/>
  <c r="E27" i="12"/>
  <c r="D24" i="12"/>
  <c r="F25" i="12"/>
  <c r="C27" i="12"/>
  <c r="B27" i="12"/>
  <c r="D25" i="12"/>
  <c r="F26" i="12"/>
  <c r="E23" i="12"/>
  <c r="B25" i="12"/>
  <c r="D26" i="12"/>
  <c r="C23" i="12"/>
  <c r="C26" i="12"/>
  <c r="B23" i="12"/>
  <c r="D27" i="12"/>
  <c r="E25" i="12"/>
  <c r="C22" i="13"/>
  <c r="B13" i="12"/>
  <c r="B14" i="12" l="1"/>
  <c r="D14" i="12" s="1"/>
  <c r="D13" i="12"/>
  <c r="D22" i="13" s="1"/>
  <c r="B17" i="12" l="1"/>
  <c r="B18" i="12" l="1"/>
  <c r="G22" i="13"/>
  <c r="B19" i="12" l="1"/>
  <c r="G23" i="13"/>
  <c r="G24" i="13" l="1"/>
  <c r="G9" i="13"/>
  <c r="A29" i="12"/>
</calcChain>
</file>

<file path=xl/sharedStrings.xml><?xml version="1.0" encoding="utf-8"?>
<sst xmlns="http://schemas.openxmlformats.org/spreadsheetml/2006/main" count="370" uniqueCount="263">
  <si>
    <t>OGDC – DCF Input Calculations (FY2022–FY2024)</t>
  </si>
  <si>
    <t>A) Source figures from Annual Report PDFs (units: Rupees ‘000)</t>
  </si>
  <si>
    <t>Year</t>
  </si>
  <si>
    <t>PBT</t>
  </si>
  <si>
    <t>Tax</t>
  </si>
  <si>
    <t>Effective tax rate</t>
  </si>
  <si>
    <t>Cash &amp; bank</t>
  </si>
  <si>
    <t>Other financial assets</t>
  </si>
  <si>
    <t>Current portion of LT investments</t>
  </si>
  <si>
    <t>Interest-bearing debt</t>
  </si>
  <si>
    <t>Net debt (cash only) PKR mn</t>
  </si>
  <si>
    <t>Net debt (cash+otherFA) PKR mn</t>
  </si>
  <si>
    <t>Net debt (cash+otherFA+CPLTI) PKR mn</t>
  </si>
  <si>
    <t>Shares outstanding (mn)</t>
  </si>
  <si>
    <t>B) Recommended single inputs for the DCF</t>
  </si>
  <si>
    <t>Input</t>
  </si>
  <si>
    <t>Recommended value</t>
  </si>
  <si>
    <t>Why this value (rule)</t>
  </si>
  <si>
    <t>Tax rate</t>
  </si>
  <si>
    <t>3-year weighted effective tax rate = ΣTax/ΣPBT (smooths one-off tax spikes).</t>
  </si>
  <si>
    <t>`</t>
  </si>
  <si>
    <t>WACC</t>
  </si>
  <si>
    <t>With ~0 debt, WACC≈Cost of equity. Re = Rf + β×ERP. (Inputs documented below).</t>
  </si>
  <si>
    <t>Terminal growth (g)</t>
  </si>
  <si>
    <t>Conservative long-run growth; keep below WACC (g &lt; WACC).</t>
  </si>
  <si>
    <t>This is an assumption</t>
  </si>
  <si>
    <t>From share capital and face value; constant across FY22–FY24.</t>
  </si>
  <si>
    <t>Net debt (PKR mn)</t>
  </si>
  <si>
    <t>Use latest year (valuation date). Selected definition: Debt − (Cash &amp; bank + Other financial assets).</t>
  </si>
  <si>
    <t>Find “Debt”
In liabilities section, we have:
deferred taxation
deferred employee benefits
provision for decommissioning cost
trade &amp; other payables
unpaid dividend
These are NOT interest-bearing debt.
Interest-bearing debt would look like:
Borrowings / Loans / Bank debt / Sukuk / Bonds / Lease liabilities                       Since the face of the statement shows no borrowings, we treat:
Debt≈0</t>
  </si>
  <si>
    <t xml:space="preserve"> </t>
  </si>
  <si>
    <t>Parameter</t>
  </si>
  <si>
    <t>Value</t>
  </si>
  <si>
    <t>Meaning / Source</t>
  </si>
  <si>
    <t>Risk-free rate (Rf)</t>
  </si>
  <si>
    <t>Pakistan 10-year government bond yield (as of Feb 27, 2026)</t>
  </si>
  <si>
    <t>Beta (β)</t>
  </si>
  <si>
    <t>OGDC beta (TradingView)</t>
  </si>
  <si>
    <t>β=Cov(Rstock​,Rmarket​)/Var(Rmarket​)</t>
  </si>
  <si>
    <t>Equity risk premium (ERP)</t>
  </si>
  <si>
    <t xml:space="preserve">Pakistan total equity risk premium (Damodaran; Jan 2026)           https://pages.stern.nyu.edu/~adamodar/New_Home_Page/datafile/ctryprem.html              </t>
  </si>
  <si>
    <t>Cost of equity Re</t>
  </si>
  <si>
    <t>Re = Rf + β×ERP</t>
  </si>
  <si>
    <t>Model Inputs</t>
  </si>
  <si>
    <t>General</t>
  </si>
  <si>
    <t>Item</t>
  </si>
  <si>
    <t>FY2022 Share Price</t>
  </si>
  <si>
    <t>FY2023 Share Price</t>
  </si>
  <si>
    <t>FY2024 Share Price</t>
  </si>
  <si>
    <t>Company name</t>
  </si>
  <si>
    <t>Peer Company</t>
  </si>
  <si>
    <t>POL</t>
  </si>
  <si>
    <t>Currency / units</t>
  </si>
  <si>
    <t>PKR mn</t>
  </si>
  <si>
    <t>Historical years</t>
  </si>
  <si>
    <t>FY2022–FY2024</t>
  </si>
  <si>
    <t>Valuation assumptions (DCF)</t>
  </si>
  <si>
    <t>Notes</t>
  </si>
  <si>
    <t>3-year weighted effective tax rate (FY2022–FY2024) = ΣTax/ΣPBT</t>
  </si>
  <si>
    <t>WACC≈Cost of Equity (no interest-bearing debt); Re=Rf+β*ERP (Rf=11.56%, β=1.07, ERP=13.94%)</t>
  </si>
  <si>
    <t>Terminal growth assumption (conservative)</t>
  </si>
  <si>
    <t>From share capital / face value (Rs '000): 43,009,284 / 10 = 4,300,928.4 ('000) =&gt; 4,300.93 mn</t>
  </si>
  <si>
    <t>Net debt = Debt − (Cash &amp; bank + Other financial assets) (FY2024). Alternative definitions in DCF_INPUT_CALCS.</t>
  </si>
  <si>
    <t>Income Statement (PKR mn)</t>
  </si>
  <si>
    <t>Line item</t>
  </si>
  <si>
    <t>FY2022</t>
  </si>
  <si>
    <t>FY2023</t>
  </si>
  <si>
    <t>FY2024</t>
  </si>
  <si>
    <t>Growth23​</t>
  </si>
  <si>
    <t>Growth24​</t>
  </si>
  <si>
    <t>Revenue</t>
  </si>
  <si>
    <t>Cost of sales</t>
  </si>
  <si>
    <t>Gross profit</t>
  </si>
  <si>
    <t>Operating expenses</t>
  </si>
  <si>
    <t>EBIT</t>
  </si>
  <si>
    <t>Net finance cost</t>
  </si>
  <si>
    <t>Profit before tax</t>
  </si>
  <si>
    <t>Net profit</t>
  </si>
  <si>
    <t>Balance Sheet (PKR mn)</t>
  </si>
  <si>
    <t>Cash &amp; equivalents</t>
  </si>
  <si>
    <t>Accounts receivable</t>
  </si>
  <si>
    <t>Inventory</t>
  </si>
  <si>
    <t>Other current assets</t>
  </si>
  <si>
    <t>Total current assets</t>
  </si>
  <si>
    <t>PPE / fixed assets</t>
  </si>
  <si>
    <t>Other non-current assets</t>
  </si>
  <si>
    <t>Total assets</t>
  </si>
  <si>
    <t>Accounts payable</t>
  </si>
  <si>
    <t>Short-term debt</t>
  </si>
  <si>
    <t>Other current liabilities</t>
  </si>
  <si>
    <t>Total current liabilities</t>
  </si>
  <si>
    <t>Long-term debt</t>
  </si>
  <si>
    <t>Other non-current liabilities</t>
  </si>
  <si>
    <t>Total liabilities</t>
  </si>
  <si>
    <t>Share capital</t>
  </si>
  <si>
    <t>Retained earnings</t>
  </si>
  <si>
    <t>Total equity</t>
  </si>
  <si>
    <t>Total liabilities &amp; equity</t>
  </si>
  <si>
    <t>NWC</t>
  </si>
  <si>
    <t>ΔNWC</t>
  </si>
  <si>
    <t>ΔNWC%</t>
  </si>
  <si>
    <t>NWC=</t>
  </si>
  <si>
    <t>(AR+Inventory+other CA)-(AP+ other CL)</t>
  </si>
  <si>
    <t>Cash Flow Statement (PKR mn)</t>
  </si>
  <si>
    <t>Cash flow from operations (CFO)</t>
  </si>
  <si>
    <t>Cash flow from investing (CFI)</t>
  </si>
  <si>
    <t>Cash flow from financing (CFF)</t>
  </si>
  <si>
    <t>Net change in cash</t>
  </si>
  <si>
    <t>FX impact on cash (from cash flow statement)</t>
  </si>
  <si>
    <t>Opening cash balance</t>
  </si>
  <si>
    <t>Closing cash balance (check vs BS)</t>
  </si>
  <si>
    <t>CAPEX</t>
  </si>
  <si>
    <t>CAPEX % Of Revenue</t>
  </si>
  <si>
    <t>Common-Size &amp; Trend (It converts financial statements into percentages so we can compare performance across years (and against peers) even when the company’s size changes)</t>
  </si>
  <si>
    <t>Income statement as % of Revenue</t>
  </si>
  <si>
    <t>Balance sheet as % of Total Assets</t>
  </si>
  <si>
    <t>Key Ratios</t>
  </si>
  <si>
    <t>Ratio</t>
  </si>
  <si>
    <t>Formulas</t>
  </si>
  <si>
    <t>Interpretation</t>
  </si>
  <si>
    <t>Gross margin</t>
  </si>
  <si>
    <t>Gross Profit/Revenue</t>
  </si>
  <si>
    <t>Pricing power / cost control</t>
  </si>
  <si>
    <t>EBIT margin</t>
  </si>
  <si>
    <t>EBIT/Revenue</t>
  </si>
  <si>
    <t>Operating efficiency</t>
  </si>
  <si>
    <t>Net margin</t>
  </si>
  <si>
    <t>Net Profit/Revenue</t>
  </si>
  <si>
    <t>Bottom-line profitability</t>
  </si>
  <si>
    <t>ROA</t>
  </si>
  <si>
    <t>Net Profit/Total Assets</t>
  </si>
  <si>
    <t>Profit per asset; capital intensity</t>
  </si>
  <si>
    <t>ROE</t>
  </si>
  <si>
    <t>Net Profit/Total Equity</t>
  </si>
  <si>
    <t>Return to shareholders</t>
  </si>
  <si>
    <t>Current ratio</t>
  </si>
  <si>
    <t>Current Assets/Current Liabilities</t>
  </si>
  <si>
    <t>Liquidity buffer</t>
  </si>
  <si>
    <t>Debt / Equity</t>
  </si>
  <si>
    <t>Total Debt/Total Equity</t>
  </si>
  <si>
    <t>Leverage / solvency</t>
  </si>
  <si>
    <t>Interest coverage</t>
  </si>
  <si>
    <t>EBIT/Interest Expense</t>
  </si>
  <si>
    <t>Ability to service finance cost</t>
  </si>
  <si>
    <t>Cash conversion (CFO / NI)</t>
  </si>
  <si>
    <t>CFO/Net Profit</t>
  </si>
  <si>
    <t>Earnings quality</t>
  </si>
  <si>
    <t>EPS</t>
  </si>
  <si>
    <t>Net Profit/Outstanding Shares</t>
  </si>
  <si>
    <t>Earnings Per Share</t>
  </si>
  <si>
    <t>BVPS</t>
  </si>
  <si>
    <t>Total Equity/Outstanding Shares</t>
  </si>
  <si>
    <t>Book Value per Share</t>
  </si>
  <si>
    <t>P/E</t>
  </si>
  <si>
    <t>Share Price/EPS</t>
  </si>
  <si>
    <t>High P/E = market expects growth / low risk
Low P/E = cheaper / higher risk / low expected growth</t>
  </si>
  <si>
    <t>P/B</t>
  </si>
  <si>
    <t>Share Price/BVPS</t>
  </si>
  <si>
    <t>P/B &gt; 1 = market values company above its book equity
P/B &lt; 1 = market discounts assets / concerns about profitability/quality</t>
  </si>
  <si>
    <t>Pakistan Oilfields Limited (POL) – Peer Company</t>
  </si>
  <si>
    <t>FY2022 (Rs '000)</t>
  </si>
  <si>
    <t>FY2023 (Rs '000)</t>
  </si>
  <si>
    <t>FY2024 (Rs '000)</t>
  </si>
  <si>
    <t>Conversion</t>
  </si>
  <si>
    <t>FY2022 (PKR mn)</t>
  </si>
  <si>
    <t>FY2023 (PKR mn)</t>
  </si>
  <si>
    <t>FY2024 (PKR mn)</t>
  </si>
  <si>
    <t>Net sales</t>
  </si>
  <si>
    <t>÷ 1,000</t>
  </si>
  <si>
    <t>Profit before tax (PBT)</t>
  </si>
  <si>
    <t>Profit before income tax &amp; final taxes (PBT+levy basis)</t>
  </si>
  <si>
    <t>Finance costs - net (absolute)</t>
  </si>
  <si>
    <t>Profit for the year (Net profit)</t>
  </si>
  <si>
    <t>Total liabilities (assets - equity)</t>
  </si>
  <si>
    <t>EPS (Rupees)</t>
  </si>
  <si>
    <t>Outstanding Shares 2024</t>
  </si>
  <si>
    <t>FY2024 Peer Metrics (used in PEER_COMP)</t>
  </si>
  <si>
    <t>Metric</t>
  </si>
  <si>
    <t>Formula</t>
  </si>
  <si>
    <t>Value (FY2024)</t>
  </si>
  <si>
    <t>Revenue (PKR mn)</t>
  </si>
  <si>
    <t>EBIT / Net sales, where EBIT = PBT + finance costs</t>
  </si>
  <si>
    <t>Net profit / Total Equity</t>
  </si>
  <si>
    <t>Debt/Equity</t>
  </si>
  <si>
    <t>Total liabilities / Total equity</t>
  </si>
  <si>
    <t>Peer Comparison</t>
  </si>
  <si>
    <t>Companies</t>
  </si>
  <si>
    <t>Primary company</t>
  </si>
  <si>
    <t>Peer 1</t>
  </si>
  <si>
    <t>Peer 2</t>
  </si>
  <si>
    <t>Key metrics (latest year 2024)</t>
  </si>
  <si>
    <t>Company</t>
  </si>
  <si>
    <t xml:space="preserve">P/E </t>
  </si>
  <si>
    <t>Forecast (3 years) — Simple Driver Based</t>
  </si>
  <si>
    <t>Revenue &amp; margin Assumptions</t>
  </si>
  <si>
    <t>Assumption</t>
  </si>
  <si>
    <t>FY2025</t>
  </si>
  <si>
    <t>FY2026</t>
  </si>
  <si>
    <t>FY2027</t>
  </si>
  <si>
    <t>Revenue growth</t>
  </si>
  <si>
    <t>used a conservative “steady-state” growth rate of 5% instead of repeating the last year’s growth (which can be volatile in oil &amp; gas because prices/production swing).</t>
  </si>
  <si>
    <t>Assuming operating profitability slowly declines by 1.0% per year</t>
  </si>
  <si>
    <t>Capex (% of Revenue)</t>
  </si>
  <si>
    <t xml:space="preserve">Used Year 2024 As Base </t>
  </si>
  <si>
    <t>Change in NWC (% of Revenue)</t>
  </si>
  <si>
    <t>Working capital has been volatile historically due to receivables timing and settlement patterns. For forecasting, we assume a steady +1% of revenue working-capital investment as a conservative base-case</t>
  </si>
  <si>
    <t>Projected Free Cash Flow to Firm (FCFF)</t>
  </si>
  <si>
    <t>Tax on EBIT</t>
  </si>
  <si>
    <t>NOPAT</t>
  </si>
  <si>
    <t>Capex</t>
  </si>
  <si>
    <t>Change in NWC</t>
  </si>
  <si>
    <t>FCFF</t>
  </si>
  <si>
    <t>DCF Valuation (FCFF)</t>
  </si>
  <si>
    <t>If this company generates FCFF in the future, what is that stream worth today?</t>
  </si>
  <si>
    <t>Inputs (linked from INPUTS)</t>
  </si>
  <si>
    <t>WACC is discount rate (required return). It represents the riskiness of the business.</t>
  </si>
  <si>
    <t>Higher WACC ⇒ future cash flows are worth less today</t>
  </si>
  <si>
    <t>Net debt (Debt - Cash)</t>
  </si>
  <si>
    <t>Lower WACC ⇒ worth more today</t>
  </si>
  <si>
    <t>Present value of projected FCFF</t>
  </si>
  <si>
    <t>Discount factor</t>
  </si>
  <si>
    <t>PV of FCFF</t>
  </si>
  <si>
    <t>PV(FCFF)=FCFF​×Discount factort</t>
  </si>
  <si>
    <t>Terminal value (end FY2027)</t>
  </si>
  <si>
    <t>Value summary</t>
  </si>
  <si>
    <t>Enterprise value (PV FCFF + PV TV)</t>
  </si>
  <si>
    <t>Equity value</t>
  </si>
  <si>
    <t>Value per share</t>
  </si>
  <si>
    <t>Equity Value=EV−Net Debt</t>
  </si>
  <si>
    <t>Sensitivity: Equity value per share (WACC vs g)</t>
  </si>
  <si>
    <t>g \ WACC</t>
  </si>
  <si>
    <t>OGDCL Financial Analysis &amp; DCF Valuation Dashboard</t>
  </si>
  <si>
    <t>FY2024 Snapshot KPIs</t>
  </si>
  <si>
    <t>Cash conversion (CFO/NI)</t>
  </si>
  <si>
    <t>Closing cash (PKR mn)</t>
  </si>
  <si>
    <t>DCF value/share (PKR)</t>
  </si>
  <si>
    <t>Historical Trends (FY2022–FY2024)</t>
  </si>
  <si>
    <t>Net profit (PKR mn)</t>
  </si>
  <si>
    <t>CFO (PKR mn)</t>
  </si>
  <si>
    <t>Forecast FCFF (FY2025–FY2027) &amp; DCF Summary</t>
  </si>
  <si>
    <t>FCFF (PKR mn)</t>
  </si>
  <si>
    <t>PV of FCFF (PKR mn)</t>
  </si>
  <si>
    <t>DCF Outputs</t>
  </si>
  <si>
    <t>g</t>
  </si>
  <si>
    <t>EV (PKR mn)</t>
  </si>
  <si>
    <t>Equity value (PKR mn)</t>
  </si>
  <si>
    <t>Value/share (PKR)</t>
  </si>
  <si>
    <t>Oil &amp; Gas Development Company Limited (OGDCL)</t>
  </si>
  <si>
    <r>
      <t xml:space="preserve">Full Name: </t>
    </r>
    <r>
      <rPr>
        <sz val="10.5"/>
        <color rgb="FF4A4A4A"/>
        <rFont val="Times New Roman"/>
        <family val="1"/>
      </rPr>
      <t>Oil &amp; Gas Development Company Limited</t>
    </r>
  </si>
  <si>
    <r>
      <t xml:space="preserve">PSX Ticker: </t>
    </r>
    <r>
      <rPr>
        <sz val="10.5"/>
        <color rgb="FF4A4A4A"/>
        <rFont val="Times New Roman"/>
        <family val="1"/>
      </rPr>
      <t>OGDC</t>
    </r>
  </si>
  <si>
    <r>
      <t xml:space="preserve">Industry: </t>
    </r>
    <r>
      <rPr>
        <sz val="10.5"/>
        <color rgb="FF4A4A4A"/>
        <rFont val="Times New Roman"/>
        <family val="1"/>
      </rPr>
      <t>Upstream Oil &amp; Gas Exploration &amp; Production</t>
    </r>
  </si>
  <si>
    <r>
      <t xml:space="preserve">Founded: </t>
    </r>
    <r>
      <rPr>
        <sz val="10.5"/>
        <color rgb="FF4A4A4A"/>
        <rFont val="Times New Roman"/>
        <family val="1"/>
      </rPr>
      <t>1961 (incorporated as a company in 1997)</t>
    </r>
  </si>
  <si>
    <r>
      <t xml:space="preserve">Headquarters: </t>
    </r>
    <r>
      <rPr>
        <sz val="10.5"/>
        <color rgb="FF4A4A4A"/>
        <rFont val="Times New Roman"/>
        <family val="1"/>
      </rPr>
      <t>Islamabad, Pakistan</t>
    </r>
  </si>
  <si>
    <r>
      <t xml:space="preserve">Ownership: </t>
    </r>
    <r>
      <rPr>
        <sz val="10.5"/>
        <color rgb="FF4A4A4A"/>
        <rFont val="Times New Roman"/>
        <family val="1"/>
      </rPr>
      <t>Government of Pakistan (~69% stake)</t>
    </r>
  </si>
  <si>
    <r>
      <t xml:space="preserve">Shares Outstanding: </t>
    </r>
    <r>
      <rPr>
        <sz val="10.5"/>
        <color rgb="FF4A4A4A"/>
        <rFont val="Times New Roman"/>
        <family val="1"/>
      </rPr>
      <t>4,300.93 million</t>
    </r>
  </si>
  <si>
    <r>
      <t xml:space="preserve">Market Cap (FY2024): </t>
    </r>
    <r>
      <rPr>
        <sz val="10.5"/>
        <color rgb="FF4A4A4A"/>
        <rFont val="Times New Roman"/>
        <family val="1"/>
      </rPr>
      <t>~PKR 581,162 mn at PKR 135.15/share</t>
    </r>
  </si>
  <si>
    <r>
      <t xml:space="preserve">Fiscal Year End: </t>
    </r>
    <r>
      <rPr>
        <sz val="10.5"/>
        <color rgb="FF4A4A4A"/>
        <rFont val="Times New Roman"/>
        <family val="1"/>
      </rPr>
      <t>30 June</t>
    </r>
  </si>
  <si>
    <r>
      <t xml:space="preserve">Listing: </t>
    </r>
    <r>
      <rPr>
        <sz val="10.5"/>
        <color rgb="FF4A4A4A"/>
        <rFont val="Times New Roman"/>
        <family val="1"/>
      </rPr>
      <t>Pakistan Stock Exchange (PSX)</t>
    </r>
  </si>
  <si>
    <t>About OGDCL</t>
  </si>
  <si>
    <t>OGDCL is Pakistan's largest exploration and production (E&amp;P) company and a key pillar of the country's energy security. Established in 1961 as a government-owned corporation and subsequently converted into a public limited company in 1997, OGDCL operates one of the most diversified upstream portfolios in Pakistan.</t>
  </si>
  <si>
    <t>The company holds working interests in 52 exploration licences and development &amp; production leases across Pakistan, making it the single largest contributor to the country's domestic oil and gas production. OGDCL's production base includes crude oil, natural gas, LPG, and sulphur.</t>
  </si>
  <si>
    <t>Beyond E&amp;P, OGDCL holds strategic equity stakes in associated companies including Pakistan Petroleum Limited (PPL), Pakistan LNG Limited, and others, which contribute substantial dividend income and share of profit, recorded under 'other income' in the income statement.</t>
  </si>
  <si>
    <t>OGDCL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</si>
</sst>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Red]\(#,##0\);\-;@"/>
    <numFmt numFmtId="166" formatCode="0.0%;[Red]\(0.0%\);\-;@"/>
    <numFmt numFmtId="167" formatCode="0.00;[Red]\(0.00\);\-;@"/>
    <numFmt numFmtId="168" formatCode="#,##0.000"/>
    <numFmt numFmtId="169" formatCode="#,##0.00;[Red]\(#,##0.00\);\-;@"/>
    <numFmt numFmtId="170" formatCode="0.000;[Red]\(0.000\);\-;@"/>
  </numFmts>
  <fonts count="21" x14ac:knownFonts="1">
    <font>
      <sz val="11"/>
      <color theme="1"/>
      <name val="Calibri"/>
      <family val="2"/>
      <charset val="1"/>
    </font>
    <font>
      <sz val="11"/>
      <color theme="1"/>
      <name val="Times New Roman"/>
      <family val="1"/>
      <charset val="1"/>
    </font>
    <font>
      <b/>
      <sz val="16"/>
      <color rgb="FF1F4E79"/>
      <name val="Times New Roman"/>
      <family val="1"/>
      <charset val="1"/>
    </font>
    <font>
      <b/>
      <sz val="11"/>
      <color rgb="FF1F4E79"/>
      <name val="Times New Roman"/>
      <family val="1"/>
      <charset val="1"/>
    </font>
    <font>
      <sz val="11"/>
      <color rgb="FF000000"/>
      <name val="Times New Roman"/>
      <family val="1"/>
      <charset val="1"/>
    </font>
    <font>
      <b/>
      <sz val="11"/>
      <color rgb="FFFFFFFF"/>
      <name val="Times New Roman"/>
      <family val="1"/>
      <charset val="1"/>
    </font>
    <font>
      <sz val="11"/>
      <color rgb="FF0000FF"/>
      <name val="Times New Roman"/>
      <family val="1"/>
      <charset val="1"/>
    </font>
    <font>
      <sz val="11"/>
      <color rgb="FF008000"/>
      <name val="Times New Roman"/>
      <family val="1"/>
      <charset val="1"/>
    </font>
    <font>
      <b/>
      <sz val="14"/>
      <name val="Times New Roman"/>
      <family val="1"/>
      <charset val="1"/>
    </font>
    <font>
      <b/>
      <sz val="11"/>
      <name val="Times New Roman"/>
      <family val="1"/>
      <charset val="1"/>
    </font>
    <font>
      <sz val="9"/>
      <color theme="1"/>
      <name val="Times New Roman"/>
      <family val="1"/>
      <charset val="1"/>
    </font>
    <font>
      <b/>
      <sz val="11"/>
      <color theme="0"/>
      <name val="Times New Roman"/>
      <family val="1"/>
      <charset val="1"/>
    </font>
    <font>
      <sz val="12"/>
      <color theme="1"/>
      <name val="Times New Roman"/>
      <family val="1"/>
      <charset val="1"/>
    </font>
    <font>
      <b/>
      <sz val="11"/>
      <color theme="3"/>
      <name val="Times New Roman"/>
      <family val="1"/>
      <charset val="1"/>
    </font>
    <font>
      <b/>
      <sz val="12"/>
      <name val="Times New Roman"/>
      <family val="1"/>
      <charset val="1"/>
    </font>
    <font>
      <sz val="11"/>
      <color theme="9" tint="-0.249977111117893"/>
      <name val="Times New Roman"/>
      <family val="1"/>
      <charset val="1"/>
    </font>
    <font>
      <sz val="11"/>
      <color theme="1"/>
      <name val="Calibri"/>
      <family val="2"/>
      <charset val="1"/>
    </font>
    <font>
      <b/>
      <sz val="13"/>
      <color rgb="FF2E5FA3"/>
      <name val="Times New Roman"/>
      <family val="1"/>
    </font>
    <font>
      <sz val="11"/>
      <color theme="1"/>
      <name val="Times New Roman"/>
      <family val="1"/>
    </font>
    <font>
      <b/>
      <sz val="10.5"/>
      <color rgb="FF1B3A6B"/>
      <name val="Times New Roman"/>
      <family val="1"/>
    </font>
    <font>
      <sz val="10.5"/>
      <color rgb="FF4A4A4A"/>
      <name val="Times New Roman"/>
      <family val="1"/>
    </font>
  </fonts>
  <fills count="11">
    <fill>
      <patternFill patternType="none"/>
    </fill>
    <fill>
      <patternFill patternType="gray125"/>
    </fill>
    <fill>
      <patternFill patternType="solid">
        <fgColor rgb="FF0B2F50"/>
        <bgColor rgb="FF002060"/>
      </patternFill>
    </fill>
    <fill>
      <patternFill patternType="solid">
        <fgColor rgb="FFFFF2CC"/>
        <bgColor rgb="FFF2F2F2"/>
      </patternFill>
    </fill>
    <fill>
      <patternFill patternType="solid">
        <fgColor rgb="FF1F4E79"/>
        <bgColor rgb="FF1F497D"/>
      </patternFill>
    </fill>
    <fill>
      <patternFill patternType="solid">
        <fgColor rgb="FF002060"/>
        <bgColor rgb="FF0B2F50"/>
      </patternFill>
    </fill>
    <fill>
      <patternFill patternType="solid">
        <fgColor rgb="FFF2F9FF"/>
        <bgColor rgb="FFF2F2F2"/>
      </patternFill>
    </fill>
    <fill>
      <patternFill patternType="solid">
        <fgColor rgb="FF0070C0"/>
        <bgColor rgb="FF008080"/>
      </patternFill>
    </fill>
    <fill>
      <patternFill patternType="solid">
        <fgColor theme="0"/>
        <bgColor rgb="FFF2F9FF"/>
      </patternFill>
    </fill>
    <fill>
      <patternFill patternType="solid">
        <fgColor rgb="FFF2F2F2"/>
        <bgColor rgb="FFF2F9FF"/>
      </patternFill>
    </fill>
    <fill>
      <patternFill patternType="solid">
        <fgColor rgb="FF2F75B5"/>
        <bgColor rgb="FF4F81BD"/>
      </patternFill>
    </fill>
  </fills>
  <borders count="11">
    <border>
      <left/>
      <right/>
      <top/>
      <bottom/>
      <diagonal/>
    </border>
    <border>
      <left style="thin">
        <color rgb="FF9E9E9E"/>
      </left>
      <right style="thin">
        <color rgb="FF9E9E9E"/>
      </right>
      <top style="thin">
        <color rgb="FF9E9E9E"/>
      </top>
      <bottom style="thin">
        <color rgb="FF9E9E9E"/>
      </bottom>
      <diagonal/>
    </border>
    <border>
      <left style="thin">
        <color rgb="FF9E9E9E"/>
      </left>
      <right style="thin">
        <color rgb="FF9E9E9E"/>
      </right>
      <top style="thin">
        <color rgb="FF9E9E9E"/>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style="thin">
        <color rgb="FF9E9E9E"/>
      </right>
      <top/>
      <bottom/>
      <diagonal/>
    </border>
    <border>
      <left style="thin">
        <color rgb="FF9E9E9E"/>
      </left>
      <right style="thin">
        <color rgb="FF9E9E9E"/>
      </right>
      <top/>
      <bottom/>
      <diagonal/>
    </border>
    <border>
      <left style="thin">
        <color rgb="FF9E9E9E"/>
      </left>
      <right/>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9" fontId="16" fillId="0" borderId="0"/>
  </cellStyleXfs>
  <cellXfs count="100">
    <xf numFmtId="0" fontId="0" fillId="0" borderId="0" xfId="0"/>
    <xf numFmtId="0" fontId="5" fillId="4" borderId="4" xfId="0" applyFont="1" applyFill="1" applyBorder="1" applyAlignment="1">
      <alignment horizontal="left" vertical="center" wrapText="1"/>
    </xf>
    <xf numFmtId="0" fontId="1" fillId="0" borderId="4" xfId="0" applyFont="1" applyBorder="1" applyAlignment="1">
      <alignment horizontal="left" vertical="center" wrapText="1"/>
    </xf>
    <xf numFmtId="0" fontId="2" fillId="0" borderId="4" xfId="0" applyFont="1" applyBorder="1" applyAlignment="1">
      <alignment horizontal="left" vertical="center" wrapText="1"/>
    </xf>
    <xf numFmtId="0" fontId="14" fillId="0" borderId="0" xfId="0" applyFont="1"/>
    <xf numFmtId="0" fontId="1" fillId="0" borderId="0" xfId="0" applyFont="1" applyAlignment="1">
      <alignment horizontal="left" vertical="top" wrapText="1"/>
    </xf>
    <xf numFmtId="0" fontId="9" fillId="0" borderId="0" xfId="0" applyFont="1"/>
    <xf numFmtId="0" fontId="8" fillId="0" borderId="0" xfId="0" applyFont="1"/>
    <xf numFmtId="0" fontId="5" fillId="2" borderId="0" xfId="0" applyFont="1" applyFill="1" applyAlignment="1">
      <alignment horizontal="left" vertical="center" wrapText="1"/>
    </xf>
    <xf numFmtId="0" fontId="2" fillId="0" borderId="0" xfId="0" applyFont="1" applyAlignment="1">
      <alignment horizontal="left" vertical="center"/>
    </xf>
    <xf numFmtId="0" fontId="1" fillId="0" borderId="0" xfId="0" applyFont="1"/>
    <xf numFmtId="0" fontId="2" fillId="0" borderId="0" xfId="0" applyFont="1" applyAlignment="1">
      <alignment horizontal="left" vertical="center"/>
    </xf>
    <xf numFmtId="0" fontId="8" fillId="0" borderId="0" xfId="0" applyFont="1"/>
    <xf numFmtId="0" fontId="5" fillId="4" borderId="1" xfId="0" applyFont="1" applyFill="1" applyBorder="1" applyAlignment="1">
      <alignment vertical="center" wrapText="1"/>
    </xf>
    <xf numFmtId="0" fontId="1" fillId="0" borderId="1" xfId="0" applyFont="1" applyBorder="1" applyAlignment="1">
      <alignment vertical="center" wrapText="1"/>
    </xf>
    <xf numFmtId="3" fontId="1" fillId="0" borderId="1" xfId="0" applyNumberFormat="1" applyFont="1" applyBorder="1" applyAlignment="1">
      <alignment vertical="center" wrapText="1"/>
    </xf>
    <xf numFmtId="10" fontId="1" fillId="0" borderId="1" xfId="0" applyNumberFormat="1" applyFont="1" applyBorder="1" applyAlignment="1">
      <alignment vertical="center" wrapText="1"/>
    </xf>
    <xf numFmtId="4" fontId="1" fillId="0" borderId="1" xfId="0" applyNumberFormat="1" applyFont="1" applyBorder="1" applyAlignment="1">
      <alignment vertical="center" wrapText="1"/>
    </xf>
    <xf numFmtId="2" fontId="1" fillId="0" borderId="0" xfId="0" applyNumberFormat="1" applyFont="1"/>
    <xf numFmtId="0" fontId="10" fillId="0" borderId="0" xfId="0" applyFont="1" applyAlignment="1">
      <alignment wrapText="1"/>
    </xf>
    <xf numFmtId="0" fontId="11" fillId="5" borderId="2" xfId="0" applyFont="1" applyFill="1" applyBorder="1" applyAlignment="1">
      <alignment horizontal="center" vertical="center"/>
    </xf>
    <xf numFmtId="0" fontId="11" fillId="5" borderId="2" xfId="0" applyFont="1" applyFill="1" applyBorder="1"/>
    <xf numFmtId="0" fontId="1"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12" fillId="0" borderId="3" xfId="0" applyFont="1" applyBorder="1"/>
    <xf numFmtId="0" fontId="13" fillId="0" borderId="0" xfId="0" applyFont="1"/>
    <xf numFmtId="0" fontId="12" fillId="6" borderId="3" xfId="0" applyFont="1" applyFill="1" applyBorder="1"/>
    <xf numFmtId="0" fontId="1" fillId="0" borderId="1" xfId="0" applyFont="1" applyBorder="1"/>
    <xf numFmtId="0" fontId="5" fillId="4" borderId="1" xfId="0" applyFont="1" applyFill="1" applyBorder="1" applyAlignment="1">
      <alignment horizontal="center" vertical="center"/>
    </xf>
    <xf numFmtId="164" fontId="6" fillId="3" borderId="1" xfId="0" applyNumberFormat="1" applyFont="1" applyFill="1" applyBorder="1" applyAlignment="1">
      <alignment horizontal="right" vertical="center"/>
    </xf>
    <xf numFmtId="4" fontId="6" fillId="3" borderId="1" xfId="0" applyNumberFormat="1" applyFont="1" applyFill="1" applyBorder="1" applyAlignment="1">
      <alignment horizontal="right" vertical="center"/>
    </xf>
    <xf numFmtId="0" fontId="9" fillId="0" borderId="1" xfId="0" applyFont="1" applyBorder="1" applyAlignment="1">
      <alignment horizontal="left" vertical="center" wrapText="1"/>
    </xf>
    <xf numFmtId="165" fontId="6" fillId="3" borderId="1" xfId="0" applyNumberFormat="1" applyFont="1" applyFill="1" applyBorder="1" applyAlignment="1">
      <alignment horizontal="right" vertical="center"/>
    </xf>
    <xf numFmtId="3" fontId="0" fillId="0" borderId="1" xfId="0" applyNumberFormat="1" applyBorder="1"/>
    <xf numFmtId="9" fontId="1" fillId="0" borderId="0" xfId="1" applyFont="1"/>
    <xf numFmtId="9" fontId="1" fillId="0" borderId="0" xfId="0" applyNumberFormat="1" applyFont="1"/>
    <xf numFmtId="165" fontId="4" fillId="0" borderId="1" xfId="0" applyNumberFormat="1" applyFont="1" applyBorder="1" applyAlignment="1">
      <alignment horizontal="right" vertical="center"/>
    </xf>
    <xf numFmtId="3" fontId="1" fillId="0" borderId="0" xfId="0" applyNumberFormat="1" applyFont="1"/>
    <xf numFmtId="165" fontId="1" fillId="0" borderId="0" xfId="0" applyNumberFormat="1" applyFont="1"/>
    <xf numFmtId="164" fontId="1" fillId="0" borderId="0" xfId="1" applyNumberFormat="1" applyFont="1"/>
    <xf numFmtId="3" fontId="0" fillId="0" borderId="0" xfId="0" applyNumberFormat="1"/>
    <xf numFmtId="0" fontId="1" fillId="0" borderId="3" xfId="0" applyFont="1" applyBorder="1"/>
    <xf numFmtId="3" fontId="0" fillId="0" borderId="3" xfId="0" applyNumberFormat="1" applyBorder="1"/>
    <xf numFmtId="10" fontId="1" fillId="0" borderId="3" xfId="1" applyNumberFormat="1" applyFont="1" applyBorder="1"/>
    <xf numFmtId="166" fontId="4" fillId="0" borderId="1" xfId="0" applyNumberFormat="1" applyFont="1" applyBorder="1" applyAlignment="1">
      <alignment horizontal="right" vertical="center"/>
    </xf>
    <xf numFmtId="1" fontId="1" fillId="0" borderId="0" xfId="0" applyNumberFormat="1" applyFont="1"/>
    <xf numFmtId="167" fontId="4" fillId="0" borderId="1" xfId="0" applyNumberFormat="1" applyFont="1" applyBorder="1" applyAlignment="1">
      <alignment horizontal="right" vertical="center"/>
    </xf>
    <xf numFmtId="0" fontId="1" fillId="0" borderId="1" xfId="0" applyFont="1" applyBorder="1" applyAlignment="1">
      <alignment wrapText="1"/>
    </xf>
    <xf numFmtId="0" fontId="5" fillId="4" borderId="4" xfId="0" applyFont="1" applyFill="1" applyBorder="1" applyAlignment="1">
      <alignment horizontal="center" vertical="center" wrapText="1"/>
    </xf>
    <xf numFmtId="0" fontId="1" fillId="0" borderId="4" xfId="0" applyFont="1" applyBorder="1" applyAlignment="1">
      <alignment horizontal="left" vertical="top" wrapText="1"/>
    </xf>
    <xf numFmtId="3" fontId="1" fillId="0" borderId="4" xfId="0" applyNumberFormat="1" applyFont="1" applyBorder="1" applyAlignment="1">
      <alignment horizontal="right" vertical="top"/>
    </xf>
    <xf numFmtId="0" fontId="1" fillId="0" borderId="4" xfId="0" applyFont="1" applyBorder="1" applyAlignment="1">
      <alignment horizontal="center" vertical="center" wrapText="1"/>
    </xf>
    <xf numFmtId="168" fontId="1" fillId="0" borderId="4" xfId="0" applyNumberFormat="1" applyFont="1" applyBorder="1" applyAlignment="1">
      <alignment horizontal="right" vertical="top"/>
    </xf>
    <xf numFmtId="2" fontId="1" fillId="0" borderId="4" xfId="0" applyNumberFormat="1" applyFont="1" applyBorder="1" applyAlignment="1">
      <alignment horizontal="right" vertical="top"/>
    </xf>
    <xf numFmtId="0" fontId="1" fillId="0" borderId="4" xfId="0" applyFont="1" applyBorder="1"/>
    <xf numFmtId="0" fontId="1" fillId="7" borderId="0" xfId="0" applyFont="1" applyFill="1"/>
    <xf numFmtId="0" fontId="12" fillId="8" borderId="3" xfId="0" applyFont="1" applyFill="1" applyBorder="1"/>
    <xf numFmtId="0" fontId="11" fillId="8" borderId="5" xfId="0" applyFont="1" applyFill="1" applyBorder="1"/>
    <xf numFmtId="0" fontId="11" fillId="8" borderId="6" xfId="0" applyFont="1" applyFill="1" applyBorder="1"/>
    <xf numFmtId="0" fontId="11" fillId="8" borderId="7" xfId="0" applyFont="1" applyFill="1" applyBorder="1"/>
    <xf numFmtId="168" fontId="1" fillId="0" borderId="4" xfId="0" applyNumberFormat="1" applyFont="1" applyBorder="1" applyAlignment="1">
      <alignment horizontal="right"/>
    </xf>
    <xf numFmtId="0" fontId="12" fillId="8" borderId="8" xfId="0" applyFont="1" applyFill="1" applyBorder="1"/>
    <xf numFmtId="0" fontId="12" fillId="8" borderId="9" xfId="0" applyFont="1" applyFill="1" applyBorder="1"/>
    <xf numFmtId="0" fontId="12" fillId="8" borderId="10" xfId="0" applyFont="1" applyFill="1" applyBorder="1"/>
    <xf numFmtId="164" fontId="1" fillId="0" borderId="4" xfId="0" applyNumberFormat="1" applyFont="1" applyBorder="1" applyAlignment="1">
      <alignment horizontal="right"/>
    </xf>
    <xf numFmtId="2" fontId="1" fillId="0" borderId="4" xfId="0" applyNumberFormat="1" applyFont="1" applyBorder="1" applyAlignment="1">
      <alignment horizontal="right"/>
    </xf>
    <xf numFmtId="0" fontId="7" fillId="0" borderId="1" xfId="0" applyFont="1" applyBorder="1" applyAlignment="1">
      <alignment horizontal="left" vertical="center" wrapText="1"/>
    </xf>
    <xf numFmtId="165" fontId="7" fillId="0" borderId="1" xfId="0" applyNumberFormat="1" applyFont="1" applyBorder="1" applyAlignment="1">
      <alignment horizontal="right" vertical="center"/>
    </xf>
    <xf numFmtId="166" fontId="7" fillId="0" borderId="1" xfId="0" applyNumberFormat="1" applyFont="1" applyBorder="1" applyAlignment="1">
      <alignment horizontal="right" vertical="center"/>
    </xf>
    <xf numFmtId="164" fontId="6" fillId="3" borderId="1" xfId="1" applyNumberFormat="1" applyFont="1" applyFill="1" applyBorder="1" applyAlignment="1">
      <alignment horizontal="right" vertical="center"/>
    </xf>
    <xf numFmtId="167" fontId="7" fillId="0" borderId="1" xfId="0" applyNumberFormat="1" applyFont="1" applyBorder="1" applyAlignment="1">
      <alignment horizontal="right" vertical="center"/>
    </xf>
    <xf numFmtId="169" fontId="6" fillId="3" borderId="1" xfId="0" applyNumberFormat="1" applyFont="1" applyFill="1" applyBorder="1" applyAlignment="1">
      <alignment horizontal="right" vertical="center"/>
    </xf>
    <xf numFmtId="9" fontId="6" fillId="3" borderId="1" xfId="1" applyFont="1" applyFill="1" applyBorder="1" applyAlignment="1">
      <alignment horizontal="right" vertical="center"/>
    </xf>
    <xf numFmtId="166" fontId="6" fillId="3" borderId="1" xfId="0" applyNumberFormat="1" applyFont="1" applyFill="1" applyBorder="1" applyAlignment="1">
      <alignment horizontal="right" vertical="center"/>
    </xf>
    <xf numFmtId="0" fontId="1" fillId="0" borderId="0" xfId="0" applyFont="1" applyAlignment="1">
      <alignment horizontal="left" vertical="center" indent="1"/>
    </xf>
    <xf numFmtId="0" fontId="15" fillId="0" borderId="0" xfId="0" applyFont="1"/>
    <xf numFmtId="170" fontId="1" fillId="0" borderId="1" xfId="0" applyNumberFormat="1" applyFont="1" applyBorder="1" applyAlignment="1">
      <alignment horizontal="right" vertical="center"/>
    </xf>
    <xf numFmtId="165" fontId="1" fillId="0" borderId="1" xfId="0" applyNumberFormat="1" applyFont="1" applyBorder="1" applyAlignment="1">
      <alignment horizontal="right" vertical="center"/>
    </xf>
    <xf numFmtId="166" fontId="5" fillId="4" borderId="1" xfId="0" applyNumberFormat="1" applyFont="1" applyFill="1" applyBorder="1" applyAlignment="1">
      <alignment horizontal="center" vertical="center"/>
    </xf>
    <xf numFmtId="164" fontId="1" fillId="0" borderId="0" xfId="0" applyNumberFormat="1" applyFont="1"/>
    <xf numFmtId="3" fontId="8" fillId="8" borderId="4" xfId="0" applyNumberFormat="1" applyFont="1" applyFill="1" applyBorder="1" applyAlignment="1">
      <alignment horizontal="center" vertical="center" wrapText="1"/>
    </xf>
    <xf numFmtId="0" fontId="8" fillId="8" borderId="4" xfId="0" applyFont="1" applyFill="1" applyBorder="1" applyAlignment="1">
      <alignment horizontal="center" vertical="center" wrapText="1"/>
    </xf>
    <xf numFmtId="164" fontId="8" fillId="8" borderId="4" xfId="0" applyNumberFormat="1" applyFont="1" applyFill="1" applyBorder="1" applyAlignment="1">
      <alignment horizontal="center" vertical="center" wrapText="1"/>
    </xf>
    <xf numFmtId="2" fontId="8" fillId="8" borderId="4" xfId="0" applyNumberFormat="1" applyFont="1" applyFill="1" applyBorder="1" applyAlignment="1">
      <alignment horizontal="center" vertical="center" wrapText="1"/>
    </xf>
    <xf numFmtId="0" fontId="5" fillId="10" borderId="4" xfId="0" applyFont="1" applyFill="1" applyBorder="1" applyAlignment="1">
      <alignment horizontal="center" vertical="center" wrapText="1"/>
    </xf>
    <xf numFmtId="0" fontId="1" fillId="8" borderId="4" xfId="0" applyFont="1" applyFill="1" applyBorder="1" applyAlignment="1">
      <alignment horizontal="left" vertical="center" wrapText="1"/>
    </xf>
    <xf numFmtId="3" fontId="1" fillId="8" borderId="4" xfId="0" applyNumberFormat="1" applyFont="1" applyFill="1" applyBorder="1" applyAlignment="1">
      <alignment horizontal="right" vertical="center"/>
    </xf>
    <xf numFmtId="164" fontId="1" fillId="8" borderId="4" xfId="0" applyNumberFormat="1" applyFont="1" applyFill="1" applyBorder="1" applyAlignment="1">
      <alignment horizontal="right" vertical="center"/>
    </xf>
    <xf numFmtId="0" fontId="9" fillId="8" borderId="4" xfId="0" applyFont="1" applyFill="1" applyBorder="1" applyAlignment="1">
      <alignment horizontal="left" vertical="center" wrapText="1"/>
    </xf>
    <xf numFmtId="0" fontId="1" fillId="8" borderId="4" xfId="0" applyFont="1" applyFill="1" applyBorder="1"/>
    <xf numFmtId="0" fontId="5" fillId="8" borderId="0" xfId="0" applyFont="1" applyFill="1" applyAlignment="1">
      <alignment horizontal="left" vertical="center" wrapText="1"/>
    </xf>
    <xf numFmtId="0" fontId="1" fillId="0" borderId="0" xfId="0" applyFont="1" applyAlignment="1">
      <alignment horizontal="left" vertical="center" wrapText="1"/>
    </xf>
    <xf numFmtId="0" fontId="3" fillId="9" borderId="4"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wrapText="1"/>
    </xf>
    <xf numFmtId="0" fontId="19" fillId="0" borderId="0" xfId="0" applyFont="1" applyAlignment="1">
      <alignment horizontal="left" vertical="center" wrapText="1" indent="1"/>
    </xf>
    <xf numFmtId="0" fontId="20" fillId="0" borderId="0" xfId="0" applyFont="1" applyAlignment="1">
      <alignment horizontal="justify" vertical="center" wrapText="1"/>
    </xf>
    <xf numFmtId="0" fontId="0" fillId="0" borderId="0" xfId="0" applyAlignment="1">
      <alignment vertical="top" wrapText="1" indent="1"/>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1F4E79"/>
      <rgbColor rgb="FFBFBFBF"/>
      <rgbColor rgb="FF4F81BD"/>
      <rgbColor rgb="FF9999FF"/>
      <rgbColor rgb="FFC0504D"/>
      <rgbColor rgb="FFFFF2CC"/>
      <rgbColor rgb="FFF2F9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2F75B5"/>
      <rgbColor rgb="FF33CCCC"/>
      <rgbColor rgb="FF99CC00"/>
      <rgbColor rgb="FFFFCC00"/>
      <rgbColor rgb="FFFF9900"/>
      <rgbColor rgb="FFE46C0A"/>
      <rgbColor rgb="FF595959"/>
      <rgbColor rgb="FF9E9E9E"/>
      <rgbColor rgb="FF0B2F50"/>
      <rgbColor rgb="FF339966"/>
      <rgbColor rgb="FF003300"/>
      <rgbColor rgb="FF333300"/>
      <rgbColor rgb="FF993300"/>
      <rgbColor rgb="FF993366"/>
      <rgbColor rgb="FF1F497D"/>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3A3A3A"/>
                </a:solidFill>
                <a:latin typeface="Calibri"/>
                <a:ea typeface="Calibri"/>
              </a:defRPr>
            </a:pPr>
            <a:r>
              <a:rPr lang="en-US" sz="1400" b="0" strike="noStrike" spc="-1">
                <a:solidFill>
                  <a:srgbClr val="3A3A3A"/>
                </a:solidFill>
                <a:latin typeface="Calibri"/>
                <a:ea typeface="Calibri"/>
              </a:rPr>
              <a:t>Revenue VS Net Profit</a:t>
            </a:r>
          </a:p>
        </c:rich>
      </c:tx>
      <c:overlay val="0"/>
      <c:spPr>
        <a:noFill/>
        <a:ln w="0">
          <a:noFill/>
        </a:ln>
      </c:spPr>
    </c:title>
    <c:autoTitleDeleted val="0"/>
    <c:plotArea>
      <c:layout/>
      <c:lineChart>
        <c:grouping val="standard"/>
        <c:varyColors val="0"/>
        <c:ser>
          <c:idx val="0"/>
          <c:order val="0"/>
          <c:tx>
            <c:strRef>
              <c:f>DASHBOARD!$B$12</c:f>
              <c:strCache>
                <c:ptCount val="1"/>
                <c:pt idx="0">
                  <c:v>Revenue (PKR mn)</c:v>
                </c:pt>
              </c:strCache>
            </c:strRef>
          </c:tx>
          <c:spPr>
            <a:ln w="28440" cap="rnd">
              <a:solidFill>
                <a:srgbClr val="4F81BD"/>
              </a:solidFill>
              <a:round/>
            </a:ln>
          </c:spPr>
          <c:marker>
            <c:symbol val="circle"/>
            <c:size val="5"/>
            <c:spPr>
              <a:solidFill>
                <a:srgbClr val="4F81BD"/>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DASHBOARD!$A$13:$A$15</c:f>
              <c:strCache>
                <c:ptCount val="3"/>
                <c:pt idx="0">
                  <c:v>FY2022</c:v>
                </c:pt>
                <c:pt idx="1">
                  <c:v>FY2023</c:v>
                </c:pt>
                <c:pt idx="2">
                  <c:v>FY2024</c:v>
                </c:pt>
              </c:strCache>
            </c:strRef>
          </c:cat>
          <c:val>
            <c:numRef>
              <c:f>DASHBOARD!$B$13:$B$15</c:f>
              <c:numCache>
                <c:formatCode>#,##0</c:formatCode>
                <c:ptCount val="3"/>
                <c:pt idx="0">
                  <c:v>335463.72499999998</c:v>
                </c:pt>
                <c:pt idx="1">
                  <c:v>413594.00900000002</c:v>
                </c:pt>
                <c:pt idx="2">
                  <c:v>463697.86099999998</c:v>
                </c:pt>
              </c:numCache>
            </c:numRef>
          </c:val>
          <c:smooth val="0"/>
          <c:extLst>
            <c:ext xmlns:c16="http://schemas.microsoft.com/office/drawing/2014/chart" uri="{C3380CC4-5D6E-409C-BE32-E72D297353CC}">
              <c16:uniqueId val="{00000000-5F01-4EC9-A2DB-2950BC35AD87}"/>
            </c:ext>
          </c:extLst>
        </c:ser>
        <c:ser>
          <c:idx val="1"/>
          <c:order val="1"/>
          <c:tx>
            <c:strRef>
              <c:f>DASHBOARD!$C$12</c:f>
              <c:strCache>
                <c:ptCount val="1"/>
                <c:pt idx="0">
                  <c:v>Net profit (PKR mn)</c:v>
                </c:pt>
              </c:strCache>
            </c:strRef>
          </c:tx>
          <c:spPr>
            <a:ln w="28440" cap="rnd">
              <a:solidFill>
                <a:srgbClr val="C0504D"/>
              </a:solidFill>
              <a:round/>
            </a:ln>
          </c:spPr>
          <c:marker>
            <c:symbol val="circle"/>
            <c:size val="5"/>
            <c:spPr>
              <a:solidFill>
                <a:srgbClr val="C0504D"/>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DASHBOARD!$A$13:$A$15</c:f>
              <c:strCache>
                <c:ptCount val="3"/>
                <c:pt idx="0">
                  <c:v>FY2022</c:v>
                </c:pt>
                <c:pt idx="1">
                  <c:v>FY2023</c:v>
                </c:pt>
                <c:pt idx="2">
                  <c:v>FY2024</c:v>
                </c:pt>
              </c:strCache>
            </c:strRef>
          </c:cat>
          <c:val>
            <c:numRef>
              <c:f>DASHBOARD!$C$13:$C$15</c:f>
              <c:numCache>
                <c:formatCode>#,##0</c:formatCode>
                <c:ptCount val="3"/>
                <c:pt idx="0">
                  <c:v>133783.74699999997</c:v>
                </c:pt>
                <c:pt idx="1">
                  <c:v>224617.79700000005</c:v>
                </c:pt>
                <c:pt idx="2">
                  <c:v>208975.77099999992</c:v>
                </c:pt>
              </c:numCache>
            </c:numRef>
          </c:val>
          <c:smooth val="0"/>
          <c:extLst>
            <c:ext xmlns:c16="http://schemas.microsoft.com/office/drawing/2014/chart" uri="{C3380CC4-5D6E-409C-BE32-E72D297353CC}">
              <c16:uniqueId val="{00000001-5F01-4EC9-A2DB-2950BC35AD87}"/>
            </c:ext>
          </c:extLst>
        </c:ser>
        <c:dLbls>
          <c:showLegendKey val="0"/>
          <c:showVal val="0"/>
          <c:showCatName val="0"/>
          <c:showSerName val="0"/>
          <c:showPercent val="0"/>
          <c:showBubbleSize val="0"/>
        </c:dLbls>
        <c:hiLowLines>
          <c:spPr>
            <a:ln w="0">
              <a:noFill/>
            </a:ln>
          </c:spPr>
        </c:hiLowLines>
        <c:marker val="1"/>
        <c:smooth val="0"/>
        <c:axId val="47218821"/>
        <c:axId val="4103486"/>
      </c:lineChart>
      <c:catAx>
        <c:axId val="4721882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ea typeface="Calibri"/>
              </a:defRPr>
            </a:pPr>
            <a:endParaRPr lang="en-US"/>
          </a:p>
        </c:txPr>
        <c:crossAx val="4103486"/>
        <c:crosses val="autoZero"/>
        <c:auto val="1"/>
        <c:lblAlgn val="ctr"/>
        <c:lblOffset val="100"/>
        <c:noMultiLvlLbl val="0"/>
      </c:catAx>
      <c:valAx>
        <c:axId val="4103486"/>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strike="noStrike" spc="-1">
                <a:solidFill>
                  <a:srgbClr val="595959"/>
                </a:solidFill>
                <a:latin typeface="Calibri"/>
                <a:ea typeface="Calibri"/>
              </a:defRPr>
            </a:pPr>
            <a:endParaRPr lang="en-US"/>
          </a:p>
        </c:txPr>
        <c:crossAx val="47218821"/>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sz="1800" b="1" strike="noStrike" spc="-1">
                <a:solidFill>
                  <a:srgbClr val="000000"/>
                </a:solidFill>
                <a:latin typeface="Calibri"/>
                <a:ea typeface="Calibri"/>
              </a:rPr>
              <a:t>Cash flow from operations (CFO)</a:t>
            </a:r>
          </a:p>
        </c:rich>
      </c:tx>
      <c:overlay val="0"/>
      <c:spPr>
        <a:noFill/>
        <a:ln w="0">
          <a:noFill/>
        </a:ln>
      </c:spPr>
    </c:title>
    <c:autoTitleDeleted val="0"/>
    <c:plotArea>
      <c:layout/>
      <c:lineChart>
        <c:grouping val="standard"/>
        <c:varyColors val="0"/>
        <c:ser>
          <c:idx val="0"/>
          <c:order val="0"/>
          <c:tx>
            <c:strRef>
              <c:f>CF_S!$A$4</c:f>
              <c:strCache>
                <c:ptCount val="1"/>
                <c:pt idx="0">
                  <c:v>Cash flow from operations (CFO)</c:v>
                </c:pt>
              </c:strCache>
            </c:strRef>
          </c:tx>
          <c:spPr>
            <a:ln w="28440" cap="rnd">
              <a:solidFill>
                <a:srgbClr val="4F81BD"/>
              </a:solidFill>
              <a:round/>
            </a:ln>
          </c:spPr>
          <c:marker>
            <c:symbol val="circle"/>
            <c:size val="5"/>
            <c:spPr>
              <a:solidFill>
                <a:srgbClr val="4F81BD"/>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CF_S!$B$4:$D$4</c:f>
              <c:numCache>
                <c:formatCode>#,##0;[Red]\(#,##0\);\-;@</c:formatCode>
                <c:ptCount val="3"/>
                <c:pt idx="0">
                  <c:v>72364.346000000005</c:v>
                </c:pt>
                <c:pt idx="1">
                  <c:v>27817.162</c:v>
                </c:pt>
                <c:pt idx="2">
                  <c:v>104763.92</c:v>
                </c:pt>
              </c:numCache>
            </c:numRef>
          </c:val>
          <c:smooth val="0"/>
          <c:extLst>
            <c:ext xmlns:c16="http://schemas.microsoft.com/office/drawing/2014/chart" uri="{C3380CC4-5D6E-409C-BE32-E72D297353CC}">
              <c16:uniqueId val="{00000000-ED34-4D5F-AB59-F30F56ABAEDA}"/>
            </c:ext>
          </c:extLst>
        </c:ser>
        <c:dLbls>
          <c:showLegendKey val="0"/>
          <c:showVal val="0"/>
          <c:showCatName val="0"/>
          <c:showSerName val="0"/>
          <c:showPercent val="0"/>
          <c:showBubbleSize val="0"/>
        </c:dLbls>
        <c:hiLowLines>
          <c:spPr>
            <a:ln w="0">
              <a:noFill/>
            </a:ln>
          </c:spPr>
        </c:hiLowLines>
        <c:marker val="1"/>
        <c:smooth val="0"/>
        <c:axId val="44562293"/>
        <c:axId val="71702425"/>
      </c:lineChart>
      <c:catAx>
        <c:axId val="4456229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ea typeface="Calibri"/>
              </a:defRPr>
            </a:pPr>
            <a:endParaRPr lang="en-US"/>
          </a:p>
        </c:txPr>
        <c:crossAx val="71702425"/>
        <c:crosses val="autoZero"/>
        <c:auto val="1"/>
        <c:lblAlgn val="ctr"/>
        <c:lblOffset val="100"/>
        <c:noMultiLvlLbl val="0"/>
      </c:catAx>
      <c:valAx>
        <c:axId val="71702425"/>
        <c:scaling>
          <c:orientation val="minMax"/>
        </c:scaling>
        <c:delete val="0"/>
        <c:axPos val="l"/>
        <c:majorGridlines>
          <c:spPr>
            <a:ln w="9360">
              <a:solidFill>
                <a:srgbClr val="D9D9D9"/>
              </a:solidFill>
              <a:round/>
            </a:ln>
          </c:spPr>
        </c:majorGridlines>
        <c:numFmt formatCode="#,##0;[Red]\(#,##0\);\-;@" sourceLinked="0"/>
        <c:majorTickMark val="none"/>
        <c:minorTickMark val="none"/>
        <c:tickLblPos val="nextTo"/>
        <c:spPr>
          <a:ln w="9360">
            <a:noFill/>
          </a:ln>
        </c:spPr>
        <c:txPr>
          <a:bodyPr/>
          <a:lstStyle/>
          <a:p>
            <a:pPr>
              <a:defRPr sz="900" b="0" strike="noStrike" spc="-1">
                <a:solidFill>
                  <a:srgbClr val="595959"/>
                </a:solidFill>
                <a:latin typeface="Calibri"/>
                <a:ea typeface="Calibri"/>
              </a:defRPr>
            </a:pPr>
            <a:endParaRPr lang="en-US"/>
          </a:p>
        </c:txPr>
        <c:crossAx val="4456229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sz="1800" b="1" strike="noStrike" spc="-1">
                <a:solidFill>
                  <a:srgbClr val="000000"/>
                </a:solidFill>
                <a:latin typeface="Calibri"/>
                <a:ea typeface="Calibri"/>
              </a:rPr>
              <a:t>FCFF (PKR mn)</a:t>
            </a:r>
          </a:p>
        </c:rich>
      </c:tx>
      <c:overlay val="0"/>
      <c:spPr>
        <a:noFill/>
        <a:ln w="0">
          <a:noFill/>
        </a:ln>
      </c:spPr>
    </c:title>
    <c:autoTitleDeleted val="0"/>
    <c:plotArea>
      <c:layout/>
      <c:lineChart>
        <c:grouping val="standard"/>
        <c:varyColors val="0"/>
        <c:ser>
          <c:idx val="0"/>
          <c:order val="0"/>
          <c:tx>
            <c:strRef>
              <c:f>DASHBOARD!$C$19</c:f>
              <c:strCache>
                <c:ptCount val="1"/>
                <c:pt idx="0">
                  <c:v>FCFF (PKR mn)</c:v>
                </c:pt>
              </c:strCache>
            </c:strRef>
          </c:tx>
          <c:spPr>
            <a:ln w="28440" cap="rnd">
              <a:solidFill>
                <a:srgbClr val="4F81BD"/>
              </a:solidFill>
              <a:round/>
            </a:ln>
          </c:spPr>
          <c:marker>
            <c:symbol val="circle"/>
            <c:size val="5"/>
            <c:spPr>
              <a:solidFill>
                <a:srgbClr val="4F81BD"/>
              </a:solidFill>
            </c:spPr>
          </c:marker>
          <c:dLbls>
            <c:spPr>
              <a:noFill/>
              <a:ln>
                <a:noFill/>
              </a:ln>
              <a:effectLst/>
            </c:spPr>
            <c:txPr>
              <a:bodyPr wrap="square"/>
              <a:lstStyle/>
              <a:p>
                <a:pPr>
                  <a:defRPr sz="1000" b="0" strike="noStrike" spc="-1">
                    <a:solidFill>
                      <a:srgbClr val="000000"/>
                    </a:solidFill>
                    <a:latin typeface="Calibri"/>
                    <a:ea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DASHBOARD!$C$20:$C$22</c:f>
              <c:numCache>
                <c:formatCode>#,##0</c:formatCode>
                <c:ptCount val="3"/>
                <c:pt idx="0">
                  <c:v>144834.19705546644</c:v>
                </c:pt>
                <c:pt idx="1">
                  <c:v>148888.7348649085</c:v>
                </c:pt>
                <c:pt idx="2">
                  <c:v>152986.64096265615</c:v>
                </c:pt>
              </c:numCache>
            </c:numRef>
          </c:val>
          <c:smooth val="0"/>
          <c:extLst>
            <c:ext xmlns:c16="http://schemas.microsoft.com/office/drawing/2014/chart" uri="{C3380CC4-5D6E-409C-BE32-E72D297353CC}">
              <c16:uniqueId val="{00000000-50AD-4AE2-B964-E9C08D2A9EB7}"/>
            </c:ext>
          </c:extLst>
        </c:ser>
        <c:dLbls>
          <c:showLegendKey val="0"/>
          <c:showVal val="0"/>
          <c:showCatName val="0"/>
          <c:showSerName val="0"/>
          <c:showPercent val="0"/>
          <c:showBubbleSize val="0"/>
        </c:dLbls>
        <c:hiLowLines>
          <c:spPr>
            <a:ln w="0">
              <a:noFill/>
            </a:ln>
          </c:spPr>
        </c:hiLowLines>
        <c:marker val="1"/>
        <c:smooth val="0"/>
        <c:axId val="86951081"/>
        <c:axId val="70785036"/>
      </c:lineChart>
      <c:catAx>
        <c:axId val="8695108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ea typeface="Calibri"/>
              </a:defRPr>
            </a:pPr>
            <a:endParaRPr lang="en-US"/>
          </a:p>
        </c:txPr>
        <c:crossAx val="70785036"/>
        <c:crosses val="autoZero"/>
        <c:auto val="1"/>
        <c:lblAlgn val="ctr"/>
        <c:lblOffset val="100"/>
        <c:noMultiLvlLbl val="0"/>
      </c:catAx>
      <c:valAx>
        <c:axId val="70785036"/>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noFill/>
          </a:ln>
        </c:spPr>
        <c:txPr>
          <a:bodyPr/>
          <a:lstStyle/>
          <a:p>
            <a:pPr>
              <a:defRPr sz="900" b="0" strike="noStrike" spc="-1">
                <a:solidFill>
                  <a:srgbClr val="595959"/>
                </a:solidFill>
                <a:latin typeface="Calibri"/>
                <a:ea typeface="Calibri"/>
              </a:defRPr>
            </a:pPr>
            <a:endParaRPr lang="en-US"/>
          </a:p>
        </c:txPr>
        <c:crossAx val="8695108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295200</xdr:colOff>
      <xdr:row>10</xdr:row>
      <xdr:rowOff>171360</xdr:rowOff>
    </xdr:from>
    <xdr:to>
      <xdr:col>8</xdr:col>
      <xdr:colOff>303840</xdr:colOff>
      <xdr:row>13</xdr:row>
      <xdr:rowOff>513720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tretch/>
      </xdr:blipFill>
      <xdr:spPr>
        <a:xfrm>
          <a:off x="4222080" y="3124080"/>
          <a:ext cx="2989440" cy="914040"/>
        </a:xfrm>
        <a:prstGeom prst="rect">
          <a:avLst/>
        </a:prstGeom>
        <a:ln w="0">
          <a:noFill/>
        </a:ln>
      </xdr:spPr>
    </xdr:pic>
    <xdr:clientData/>
  </xdr:twoCellAnchor>
  <xdr:twoCellAnchor editAs="oneCell">
    <xdr:from>
      <xdr:col>8</xdr:col>
      <xdr:colOff>333360</xdr:colOff>
      <xdr:row>10</xdr:row>
      <xdr:rowOff>76320</xdr:rowOff>
    </xdr:from>
    <xdr:to>
      <xdr:col>15</xdr:col>
      <xdr:colOff>161280</xdr:colOff>
      <xdr:row>13</xdr:row>
      <xdr:rowOff>513720</xdr:rowOff>
    </xdr:to>
    <xdr:pic>
      <xdr:nvPicPr>
        <xdr:cNvPr id="3" name="Picture 2">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2"/>
        <a:stretch/>
      </xdr:blipFill>
      <xdr:spPr>
        <a:xfrm>
          <a:off x="7241040" y="3029040"/>
          <a:ext cx="4339440" cy="1009080"/>
        </a:xfrm>
        <a:prstGeom prst="rect">
          <a:avLst/>
        </a:prstGeom>
        <a:ln w="0">
          <a:noFill/>
        </a:ln>
      </xdr:spPr>
    </xdr:pic>
    <xdr:clientData/>
  </xdr:twoCellAnchor>
  <xdr:twoCellAnchor editAs="oneCell">
    <xdr:from>
      <xdr:col>2</xdr:col>
      <xdr:colOff>28440</xdr:colOff>
      <xdr:row>16</xdr:row>
      <xdr:rowOff>9360</xdr:rowOff>
    </xdr:from>
    <xdr:to>
      <xdr:col>7</xdr:col>
      <xdr:colOff>523080</xdr:colOff>
      <xdr:row>17</xdr:row>
      <xdr:rowOff>170640</xdr:rowOff>
    </xdr:to>
    <xdr:pic>
      <xdr:nvPicPr>
        <xdr:cNvPr id="4" name="Picture 3">
          <a:extLst>
            <a:ext uri="{FF2B5EF4-FFF2-40B4-BE49-F238E27FC236}">
              <a16:creationId xmlns:a16="http://schemas.microsoft.com/office/drawing/2014/main" id="{00000000-0008-0000-0B00-000004000000}"/>
            </a:ext>
          </a:extLst>
        </xdr:cNvPr>
        <xdr:cNvPicPr/>
      </xdr:nvPicPr>
      <xdr:blipFill>
        <a:blip xmlns:r="http://schemas.openxmlformats.org/officeDocument/2006/relationships" r:embed="rId3"/>
        <a:stretch/>
      </xdr:blipFill>
      <xdr:spPr>
        <a:xfrm>
          <a:off x="1861200" y="4514760"/>
          <a:ext cx="4924800" cy="885240"/>
        </a:xfrm>
        <a:prstGeom prst="rect">
          <a:avLst/>
        </a:prstGeom>
        <a:ln w="0">
          <a:noFill/>
        </a:ln>
      </xdr:spPr>
    </xdr:pic>
    <xdr:clientData/>
  </xdr:twoCellAnchor>
  <xdr:twoCellAnchor editAs="oneCell">
    <xdr:from>
      <xdr:col>8</xdr:col>
      <xdr:colOff>0</xdr:colOff>
      <xdr:row>16</xdr:row>
      <xdr:rowOff>0</xdr:rowOff>
    </xdr:from>
    <xdr:to>
      <xdr:col>13</xdr:col>
      <xdr:colOff>142200</xdr:colOff>
      <xdr:row>18</xdr:row>
      <xdr:rowOff>37440</xdr:rowOff>
    </xdr:to>
    <xdr:pic>
      <xdr:nvPicPr>
        <xdr:cNvPr id="5" name="Picture 4">
          <a:extLst>
            <a:ext uri="{FF2B5EF4-FFF2-40B4-BE49-F238E27FC236}">
              <a16:creationId xmlns:a16="http://schemas.microsoft.com/office/drawing/2014/main" id="{00000000-0008-0000-0B00-000005000000}"/>
            </a:ext>
          </a:extLst>
        </xdr:cNvPr>
        <xdr:cNvPicPr/>
      </xdr:nvPicPr>
      <xdr:blipFill>
        <a:blip xmlns:r="http://schemas.openxmlformats.org/officeDocument/2006/relationships" r:embed="rId4"/>
        <a:stretch/>
      </xdr:blipFill>
      <xdr:spPr>
        <a:xfrm>
          <a:off x="6907680" y="4505400"/>
          <a:ext cx="3364560" cy="951840"/>
        </a:xfrm>
        <a:prstGeom prst="rect">
          <a:avLst/>
        </a:prstGeom>
        <a:ln w="0">
          <a:noFill/>
        </a:ln>
      </xdr:spPr>
    </xdr:pic>
    <xdr:clientData/>
  </xdr:twoCellAnchor>
  <xdr:twoCellAnchor editAs="oneCell">
    <xdr:from>
      <xdr:col>7</xdr:col>
      <xdr:colOff>0</xdr:colOff>
      <xdr:row>28</xdr:row>
      <xdr:rowOff>0</xdr:rowOff>
    </xdr:from>
    <xdr:to>
      <xdr:col>11</xdr:col>
      <xdr:colOff>561600</xdr:colOff>
      <xdr:row>33</xdr:row>
      <xdr:rowOff>142200</xdr:rowOff>
    </xdr:to>
    <xdr:pic>
      <xdr:nvPicPr>
        <xdr:cNvPr id="6" name="Picture 5">
          <a:extLst>
            <a:ext uri="{FF2B5EF4-FFF2-40B4-BE49-F238E27FC236}">
              <a16:creationId xmlns:a16="http://schemas.microsoft.com/office/drawing/2014/main" id="{00000000-0008-0000-0B00-000006000000}"/>
            </a:ext>
          </a:extLst>
        </xdr:cNvPr>
        <xdr:cNvPicPr/>
      </xdr:nvPicPr>
      <xdr:blipFill>
        <a:blip xmlns:r="http://schemas.openxmlformats.org/officeDocument/2006/relationships" r:embed="rId5"/>
        <a:stretch/>
      </xdr:blipFill>
      <xdr:spPr>
        <a:xfrm>
          <a:off x="6262920" y="7553160"/>
          <a:ext cx="3139920" cy="1094760"/>
        </a:xfrm>
        <a:prstGeom prst="rect">
          <a:avLst/>
        </a:prstGeom>
        <a:ln w="0">
          <a:noFill/>
        </a:ln>
      </xdr:spPr>
    </xdr:pic>
    <xdr:clientData/>
  </xdr:twoCellAnchor>
  <xdr:twoCellAnchor editAs="oneCell">
    <xdr:from>
      <xdr:col>6</xdr:col>
      <xdr:colOff>352440</xdr:colOff>
      <xdr:row>23</xdr:row>
      <xdr:rowOff>123840</xdr:rowOff>
    </xdr:from>
    <xdr:to>
      <xdr:col>11</xdr:col>
      <xdr:colOff>437760</xdr:colOff>
      <xdr:row>27</xdr:row>
      <xdr:rowOff>94680</xdr:rowOff>
    </xdr:to>
    <xdr:pic>
      <xdr:nvPicPr>
        <xdr:cNvPr id="7" name="Picture 6">
          <a:extLst>
            <a:ext uri="{FF2B5EF4-FFF2-40B4-BE49-F238E27FC236}">
              <a16:creationId xmlns:a16="http://schemas.microsoft.com/office/drawing/2014/main" id="{00000000-0008-0000-0B00-000007000000}"/>
            </a:ext>
          </a:extLst>
        </xdr:cNvPr>
        <xdr:cNvPicPr/>
      </xdr:nvPicPr>
      <xdr:blipFill>
        <a:blip xmlns:r="http://schemas.openxmlformats.org/officeDocument/2006/relationships" r:embed="rId6"/>
        <a:stretch/>
      </xdr:blipFill>
      <xdr:spPr>
        <a:xfrm>
          <a:off x="5970960" y="6724800"/>
          <a:ext cx="3308040" cy="7326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504720</xdr:colOff>
      <xdr:row>1</xdr:row>
      <xdr:rowOff>166680</xdr:rowOff>
    </xdr:from>
    <xdr:to>
      <xdr:col>16</xdr:col>
      <xdr:colOff>199080</xdr:colOff>
      <xdr:row>11</xdr:row>
      <xdr:rowOff>439200</xdr:rowOff>
    </xdr:to>
    <xdr:graphicFrame macro="">
      <xdr:nvGraphicFramePr>
        <xdr:cNvPr id="6" name="Chart 1">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523800</xdr:colOff>
      <xdr:row>12</xdr:row>
      <xdr:rowOff>59040</xdr:rowOff>
    </xdr:from>
    <xdr:to>
      <xdr:col>16</xdr:col>
      <xdr:colOff>161280</xdr:colOff>
      <xdr:row>22</xdr:row>
      <xdr:rowOff>86760</xdr:rowOff>
    </xdr:to>
    <xdr:graphicFrame macro="">
      <xdr:nvGraphicFramePr>
        <xdr:cNvPr id="7" name="Chart 2">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495360</xdr:colOff>
      <xdr:row>22</xdr:row>
      <xdr:rowOff>349560</xdr:rowOff>
    </xdr:from>
    <xdr:to>
      <xdr:col>16</xdr:col>
      <xdr:colOff>189720</xdr:colOff>
      <xdr:row>36</xdr:row>
      <xdr:rowOff>82080</xdr:rowOff>
    </xdr:to>
    <xdr:graphicFrame macro="">
      <xdr:nvGraphicFramePr>
        <xdr:cNvPr id="8" name="Chart 3">
          <a:extLst>
            <a:ext uri="{FF2B5EF4-FFF2-40B4-BE49-F238E27FC236}">
              <a16:creationId xmlns:a16="http://schemas.microsoft.com/office/drawing/2014/main" id="{00000000-0008-0000-0C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4C85-3603-43B4-A731-B1FE44A674CE}">
  <dimension ref="A1:B12"/>
  <sheetViews>
    <sheetView workbookViewId="0"/>
  </sheetViews>
  <sheetFormatPr defaultRowHeight="15" x14ac:dyDescent="0.25"/>
  <cols>
    <col min="1" max="1" width="59" bestFit="1" customWidth="1"/>
    <col min="2" max="2" width="61.7109375" customWidth="1"/>
  </cols>
  <sheetData>
    <row r="1" spans="1:2" ht="16.5" x14ac:dyDescent="0.25">
      <c r="A1" s="94" t="s">
        <v>247</v>
      </c>
    </row>
    <row r="2" spans="1:2" x14ac:dyDescent="0.25">
      <c r="A2" s="95"/>
    </row>
    <row r="3" spans="1:2" x14ac:dyDescent="0.25">
      <c r="A3" s="96" t="s">
        <v>248</v>
      </c>
      <c r="B3" s="97" t="s">
        <v>258</v>
      </c>
    </row>
    <row r="4" spans="1:2" ht="67.5" x14ac:dyDescent="0.25">
      <c r="A4" s="96" t="s">
        <v>249</v>
      </c>
      <c r="B4" s="98" t="s">
        <v>259</v>
      </c>
    </row>
    <row r="5" spans="1:2" ht="67.5" x14ac:dyDescent="0.25">
      <c r="A5" s="96" t="s">
        <v>250</v>
      </c>
      <c r="B5" s="98" t="s">
        <v>260</v>
      </c>
    </row>
    <row r="6" spans="1:2" ht="54" x14ac:dyDescent="0.25">
      <c r="A6" s="96" t="s">
        <v>251</v>
      </c>
      <c r="B6" s="98" t="s">
        <v>261</v>
      </c>
    </row>
    <row r="7" spans="1:2" x14ac:dyDescent="0.25">
      <c r="A7" s="96" t="s">
        <v>252</v>
      </c>
      <c r="B7" s="99"/>
    </row>
    <row r="8" spans="1:2" x14ac:dyDescent="0.25">
      <c r="A8" s="96" t="s">
        <v>253</v>
      </c>
      <c r="B8" s="99"/>
    </row>
    <row r="9" spans="1:2" x14ac:dyDescent="0.25">
      <c r="A9" s="96" t="s">
        <v>254</v>
      </c>
      <c r="B9" s="99"/>
    </row>
    <row r="10" spans="1:2" x14ac:dyDescent="0.25">
      <c r="A10" s="96" t="s">
        <v>255</v>
      </c>
      <c r="B10" s="99"/>
    </row>
    <row r="11" spans="1:2" x14ac:dyDescent="0.25">
      <c r="A11" s="96" t="s">
        <v>256</v>
      </c>
      <c r="B11" s="99"/>
    </row>
    <row r="12" spans="1:2" x14ac:dyDescent="0.25">
      <c r="A12" s="96" t="s">
        <v>257</v>
      </c>
      <c r="B12" s="9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2"/>
  <sheetViews>
    <sheetView zoomScaleNormal="100" workbookViewId="0">
      <pane ySplit="4" topLeftCell="A16" activePane="bottomLeft" state="frozen"/>
      <selection pane="bottomLeft" sqref="A1:J1"/>
    </sheetView>
  </sheetViews>
  <sheetFormatPr defaultColWidth="9.140625" defaultRowHeight="15" x14ac:dyDescent="0.25"/>
  <cols>
    <col min="1" max="1" width="8" style="10" customWidth="1"/>
    <col min="2" max="3" width="14" style="10" customWidth="1"/>
    <col min="4" max="4" width="29.85546875" style="10" customWidth="1"/>
    <col min="5" max="5" width="16" style="10" customWidth="1"/>
    <col min="6" max="6" width="18" style="10" customWidth="1"/>
    <col min="7" max="7" width="22" style="10" customWidth="1"/>
    <col min="8" max="8" width="18" style="10" customWidth="1"/>
    <col min="9" max="9" width="22" style="10" customWidth="1"/>
    <col min="10" max="10" width="24" style="10" customWidth="1"/>
    <col min="11" max="11" width="28" style="10" customWidth="1"/>
    <col min="12" max="12" width="18" style="10" customWidth="1"/>
    <col min="13" max="16384" width="9.140625" style="10"/>
  </cols>
  <sheetData>
    <row r="1" spans="1:12" ht="18.75" customHeight="1" x14ac:dyDescent="0.3">
      <c r="A1" s="7" t="s">
        <v>0</v>
      </c>
      <c r="B1" s="7"/>
      <c r="C1" s="7"/>
      <c r="D1" s="7"/>
      <c r="E1" s="7"/>
      <c r="F1" s="7"/>
      <c r="G1" s="7"/>
      <c r="H1" s="7"/>
      <c r="I1" s="7"/>
      <c r="J1" s="7"/>
    </row>
    <row r="3" spans="1:12" x14ac:dyDescent="0.25">
      <c r="A3" s="6" t="s">
        <v>1</v>
      </c>
      <c r="B3" s="6"/>
      <c r="C3" s="6"/>
      <c r="D3" s="6"/>
      <c r="E3" s="6"/>
      <c r="F3" s="6"/>
      <c r="G3" s="6"/>
      <c r="H3" s="6"/>
      <c r="I3" s="6"/>
      <c r="J3" s="6"/>
    </row>
    <row r="4" spans="1:12" ht="42.75" customHeight="1" x14ac:dyDescent="0.25">
      <c r="A4" s="13" t="s">
        <v>2</v>
      </c>
      <c r="B4" s="13" t="s">
        <v>3</v>
      </c>
      <c r="C4" s="13" t="s">
        <v>4</v>
      </c>
      <c r="D4" s="13" t="s">
        <v>5</v>
      </c>
      <c r="E4" s="13" t="s">
        <v>6</v>
      </c>
      <c r="F4" s="13" t="s">
        <v>7</v>
      </c>
      <c r="G4" s="13" t="s">
        <v>8</v>
      </c>
      <c r="H4" s="13" t="s">
        <v>9</v>
      </c>
      <c r="I4" s="13" t="s">
        <v>10</v>
      </c>
      <c r="J4" s="13" t="s">
        <v>11</v>
      </c>
      <c r="K4" s="13" t="s">
        <v>12</v>
      </c>
      <c r="L4" s="13" t="s">
        <v>13</v>
      </c>
    </row>
    <row r="5" spans="1:12" x14ac:dyDescent="0.25">
      <c r="A5" s="14">
        <v>2022</v>
      </c>
      <c r="B5" s="15">
        <v>232521360</v>
      </c>
      <c r="C5" s="15">
        <v>98737613</v>
      </c>
      <c r="D5" s="16">
        <v>0.424638893390267</v>
      </c>
      <c r="E5" s="15">
        <v>31631051</v>
      </c>
      <c r="F5" s="15">
        <v>48539965</v>
      </c>
      <c r="G5" s="15">
        <v>140694637</v>
      </c>
      <c r="H5" s="15">
        <v>0</v>
      </c>
      <c r="I5" s="17">
        <v>-31631.050999999999</v>
      </c>
      <c r="J5" s="17">
        <v>-80171.016000000003</v>
      </c>
      <c r="K5" s="17">
        <v>-220865.65299999999</v>
      </c>
      <c r="L5" s="17">
        <v>4300.9283999999998</v>
      </c>
    </row>
    <row r="6" spans="1:12" x14ac:dyDescent="0.25">
      <c r="A6" s="14">
        <v>2023</v>
      </c>
      <c r="B6" s="15">
        <v>383772763</v>
      </c>
      <c r="C6" s="15">
        <v>159154966</v>
      </c>
      <c r="D6" s="16">
        <v>0.41471146820286497</v>
      </c>
      <c r="E6" s="15">
        <v>25765707</v>
      </c>
      <c r="F6" s="15">
        <v>87304487</v>
      </c>
      <c r="G6" s="15">
        <v>155694636</v>
      </c>
      <c r="H6" s="15">
        <v>0</v>
      </c>
      <c r="I6" s="17">
        <v>-25765.706999999999</v>
      </c>
      <c r="J6" s="17">
        <v>-113070.194</v>
      </c>
      <c r="K6" s="17">
        <v>-268764.83</v>
      </c>
      <c r="L6" s="17">
        <v>4300.9283999999998</v>
      </c>
    </row>
    <row r="7" spans="1:12" x14ac:dyDescent="0.25">
      <c r="A7" s="14">
        <v>2024</v>
      </c>
      <c r="B7" s="15">
        <v>293787094</v>
      </c>
      <c r="C7" s="15">
        <v>84811323</v>
      </c>
      <c r="D7" s="16">
        <v>0.28868294330179101</v>
      </c>
      <c r="E7" s="15">
        <v>141030201</v>
      </c>
      <c r="F7" s="15">
        <v>117970327</v>
      </c>
      <c r="G7" s="15">
        <v>17091021</v>
      </c>
      <c r="H7" s="15">
        <v>0</v>
      </c>
      <c r="I7" s="17">
        <v>-141030.201</v>
      </c>
      <c r="J7" s="17">
        <v>-259000.52799999999</v>
      </c>
      <c r="K7" s="17">
        <v>-276091.549</v>
      </c>
      <c r="L7" s="17">
        <v>4300.9283999999998</v>
      </c>
    </row>
    <row r="9" spans="1:12" x14ac:dyDescent="0.25">
      <c r="A9" s="6" t="s">
        <v>14</v>
      </c>
      <c r="B9" s="6"/>
      <c r="C9" s="6"/>
      <c r="D9" s="6"/>
      <c r="E9" s="6"/>
      <c r="F9" s="6"/>
      <c r="G9" s="6"/>
      <c r="H9" s="6"/>
      <c r="I9" s="6"/>
      <c r="J9" s="6"/>
    </row>
    <row r="10" spans="1:12" ht="28.5" customHeight="1" x14ac:dyDescent="0.25">
      <c r="A10" s="13" t="s">
        <v>15</v>
      </c>
      <c r="B10" s="13" t="s">
        <v>16</v>
      </c>
      <c r="C10" s="13" t="s">
        <v>17</v>
      </c>
      <c r="E10" s="18">
        <f>C5/B5*100</f>
        <v>42.463889339026743</v>
      </c>
      <c r="F10" s="18">
        <f>SUM(E10:E12)/3</f>
        <v>37.601110163164101</v>
      </c>
    </row>
    <row r="11" spans="1:12" ht="105" customHeight="1" x14ac:dyDescent="0.25">
      <c r="A11" s="14" t="s">
        <v>18</v>
      </c>
      <c r="B11" s="16">
        <v>0.37656408636769001</v>
      </c>
      <c r="C11" s="14" t="s">
        <v>19</v>
      </c>
      <c r="E11" s="18">
        <f>C6/B6*100</f>
        <v>41.471146820286464</v>
      </c>
      <c r="H11" s="10" t="s">
        <v>20</v>
      </c>
    </row>
    <row r="12" spans="1:12" ht="105" customHeight="1" x14ac:dyDescent="0.25">
      <c r="A12" s="14" t="s">
        <v>21</v>
      </c>
      <c r="B12" s="16">
        <v>0.26475799999999999</v>
      </c>
      <c r="C12" s="14" t="s">
        <v>22</v>
      </c>
      <c r="E12" s="18">
        <f>C7/B7*100</f>
        <v>28.868294330179118</v>
      </c>
    </row>
    <row r="13" spans="1:12" ht="75" customHeight="1" x14ac:dyDescent="0.25">
      <c r="A13" s="14" t="s">
        <v>23</v>
      </c>
      <c r="B13" s="16">
        <v>0.04</v>
      </c>
      <c r="C13" s="14" t="s">
        <v>24</v>
      </c>
      <c r="D13" s="10" t="s">
        <v>25</v>
      </c>
      <c r="E13" s="18"/>
    </row>
    <row r="14" spans="1:12" ht="90" customHeight="1" x14ac:dyDescent="0.25">
      <c r="A14" s="14" t="s">
        <v>13</v>
      </c>
      <c r="B14" s="17">
        <v>4300.9283999999998</v>
      </c>
      <c r="C14" s="14" t="s">
        <v>26</v>
      </c>
      <c r="E14" s="18"/>
    </row>
    <row r="15" spans="1:12" ht="168.75" customHeight="1" x14ac:dyDescent="0.25">
      <c r="A15" s="14" t="s">
        <v>27</v>
      </c>
      <c r="B15" s="17">
        <v>-259000.52799999999</v>
      </c>
      <c r="C15" s="14" t="s">
        <v>28</v>
      </c>
      <c r="D15" s="19" t="s">
        <v>29</v>
      </c>
    </row>
    <row r="17" spans="1:10" x14ac:dyDescent="0.25">
      <c r="A17" s="6" t="s">
        <v>30</v>
      </c>
      <c r="B17" s="6"/>
      <c r="C17" s="6"/>
      <c r="D17" s="6"/>
      <c r="E17" s="6"/>
      <c r="F17" s="6"/>
      <c r="G17" s="6"/>
      <c r="H17" s="6"/>
      <c r="I17" s="6"/>
      <c r="J17" s="6"/>
    </row>
    <row r="18" spans="1:10" ht="28.5" customHeight="1" x14ac:dyDescent="0.25">
      <c r="A18" s="13" t="s">
        <v>31</v>
      </c>
      <c r="B18" s="13" t="s">
        <v>32</v>
      </c>
      <c r="C18" s="13" t="s">
        <v>33</v>
      </c>
    </row>
    <row r="19" spans="1:10" ht="90" customHeight="1" x14ac:dyDescent="0.25">
      <c r="A19" s="14" t="s">
        <v>34</v>
      </c>
      <c r="B19" s="16">
        <v>0.11559999999999999</v>
      </c>
      <c r="C19" s="14" t="s">
        <v>35</v>
      </c>
    </row>
    <row r="20" spans="1:10" ht="30" customHeight="1" x14ac:dyDescent="0.25">
      <c r="A20" s="14" t="s">
        <v>36</v>
      </c>
      <c r="B20" s="14">
        <v>1.07</v>
      </c>
      <c r="C20" s="14" t="s">
        <v>37</v>
      </c>
      <c r="D20" s="10" t="s">
        <v>38</v>
      </c>
    </row>
    <row r="21" spans="1:10" ht="165" customHeight="1" x14ac:dyDescent="0.25">
      <c r="A21" s="14" t="s">
        <v>39</v>
      </c>
      <c r="B21" s="16">
        <v>0.1394</v>
      </c>
      <c r="C21" s="14" t="s">
        <v>40</v>
      </c>
    </row>
    <row r="22" spans="1:10" ht="45" customHeight="1" x14ac:dyDescent="0.25">
      <c r="A22" s="14" t="s">
        <v>41</v>
      </c>
      <c r="B22" s="16">
        <v>0.26475799999999999</v>
      </c>
      <c r="C22" s="14" t="s">
        <v>42</v>
      </c>
    </row>
  </sheetData>
  <mergeCells count="4">
    <mergeCell ref="A1:J1"/>
    <mergeCell ref="A3:J3"/>
    <mergeCell ref="A9:J9"/>
    <mergeCell ref="A17:J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showGridLines="0" tabSelected="1" zoomScaleNormal="100" workbookViewId="0">
      <selection activeCell="C11" sqref="C11"/>
    </sheetView>
  </sheetViews>
  <sheetFormatPr defaultColWidth="9.140625" defaultRowHeight="15" x14ac:dyDescent="0.25"/>
  <cols>
    <col min="1" max="1" width="30" style="10" customWidth="1"/>
    <col min="2" max="2" width="18" style="10" customWidth="1"/>
    <col min="3" max="3" width="45" style="10" customWidth="1"/>
    <col min="4" max="5" width="20.5703125" style="10" customWidth="1"/>
    <col min="6" max="7" width="16" style="10" customWidth="1"/>
    <col min="8" max="16384" width="9.140625" style="10"/>
  </cols>
  <sheetData>
    <row r="1" spans="1:7" ht="25.5" customHeight="1" x14ac:dyDescent="0.25">
      <c r="A1" s="9" t="s">
        <v>43</v>
      </c>
      <c r="B1" s="9"/>
      <c r="C1" s="9"/>
      <c r="D1" s="9"/>
      <c r="E1" s="9"/>
      <c r="F1" s="9"/>
      <c r="G1" s="9"/>
    </row>
    <row r="3" spans="1:7" ht="19.5" customHeight="1" x14ac:dyDescent="0.25">
      <c r="A3" s="8" t="s">
        <v>44</v>
      </c>
      <c r="B3" s="8"/>
      <c r="C3" s="8"/>
      <c r="D3" s="8"/>
      <c r="E3" s="8"/>
      <c r="F3" s="8"/>
      <c r="G3" s="8"/>
    </row>
    <row r="4" spans="1:7" ht="18" customHeight="1" x14ac:dyDescent="0.25">
      <c r="A4" s="20" t="s">
        <v>45</v>
      </c>
      <c r="B4" s="20" t="s">
        <v>32</v>
      </c>
      <c r="C4" s="21" t="s">
        <v>46</v>
      </c>
      <c r="D4" s="21" t="s">
        <v>47</v>
      </c>
      <c r="E4" s="21" t="s">
        <v>48</v>
      </c>
    </row>
    <row r="5" spans="1:7" ht="15.75" customHeight="1" x14ac:dyDescent="0.25">
      <c r="A5" s="22" t="s">
        <v>49</v>
      </c>
      <c r="B5" s="23" t="s">
        <v>262</v>
      </c>
      <c r="C5" s="24">
        <v>78.900000000000006</v>
      </c>
      <c r="D5" s="24">
        <v>77.849999999999994</v>
      </c>
      <c r="E5" s="24">
        <v>135.15</v>
      </c>
    </row>
    <row r="6" spans="1:7" ht="15.75" customHeight="1" x14ac:dyDescent="0.25">
      <c r="A6" s="10" t="s">
        <v>50</v>
      </c>
      <c r="B6" s="25" t="s">
        <v>51</v>
      </c>
      <c r="C6" s="26">
        <v>405.81</v>
      </c>
      <c r="D6" s="26">
        <v>401.77</v>
      </c>
      <c r="E6" s="26">
        <v>489.94</v>
      </c>
    </row>
    <row r="7" spans="1:7" x14ac:dyDescent="0.25">
      <c r="A7" s="22" t="s">
        <v>52</v>
      </c>
      <c r="B7" s="23" t="s">
        <v>53</v>
      </c>
      <c r="C7" s="27"/>
      <c r="D7" s="27"/>
      <c r="E7" s="27"/>
    </row>
    <row r="8" spans="1:7" x14ac:dyDescent="0.25">
      <c r="A8" s="22" t="s">
        <v>54</v>
      </c>
      <c r="B8" s="23" t="s">
        <v>55</v>
      </c>
      <c r="C8" s="27"/>
      <c r="D8" s="27"/>
      <c r="E8" s="27"/>
    </row>
    <row r="9" spans="1:7" ht="19.5" customHeight="1" x14ac:dyDescent="0.25">
      <c r="A9" s="8" t="s">
        <v>56</v>
      </c>
      <c r="B9" s="8"/>
      <c r="C9" s="8"/>
      <c r="D9" s="8"/>
      <c r="E9" s="8"/>
      <c r="F9" s="8"/>
      <c r="G9" s="8"/>
    </row>
    <row r="10" spans="1:7" ht="18" customHeight="1" x14ac:dyDescent="0.25">
      <c r="A10" s="28" t="s">
        <v>45</v>
      </c>
      <c r="B10" s="28" t="s">
        <v>32</v>
      </c>
      <c r="C10" s="28" t="s">
        <v>57</v>
      </c>
    </row>
    <row r="11" spans="1:7" ht="30" customHeight="1" x14ac:dyDescent="0.25">
      <c r="A11" s="22" t="s">
        <v>18</v>
      </c>
      <c r="B11" s="29">
        <v>0.37656408636769001</v>
      </c>
      <c r="C11" s="22" t="s">
        <v>58</v>
      </c>
    </row>
    <row r="12" spans="1:7" ht="45" customHeight="1" x14ac:dyDescent="0.25">
      <c r="A12" s="22" t="s">
        <v>21</v>
      </c>
      <c r="B12" s="29">
        <v>0.26475799999999999</v>
      </c>
      <c r="C12" s="22" t="s">
        <v>59</v>
      </c>
    </row>
    <row r="13" spans="1:7" x14ac:dyDescent="0.25">
      <c r="A13" s="22" t="s">
        <v>23</v>
      </c>
      <c r="B13" s="29">
        <v>0.04</v>
      </c>
      <c r="C13" s="22" t="s">
        <v>60</v>
      </c>
    </row>
    <row r="14" spans="1:7" ht="45" customHeight="1" x14ac:dyDescent="0.25">
      <c r="A14" s="22" t="s">
        <v>13</v>
      </c>
      <c r="B14" s="30">
        <v>4300.9283999999998</v>
      </c>
      <c r="C14" s="22" t="s">
        <v>61</v>
      </c>
    </row>
    <row r="15" spans="1:7" ht="45" customHeight="1" x14ac:dyDescent="0.25">
      <c r="A15" s="22" t="s">
        <v>27</v>
      </c>
      <c r="B15" s="30">
        <v>-259000.52799999999</v>
      </c>
      <c r="C15" s="22" t="s">
        <v>62</v>
      </c>
    </row>
  </sheetData>
  <mergeCells count="3">
    <mergeCell ref="A1:G1"/>
    <mergeCell ref="A3:G3"/>
    <mergeCell ref="A9:G9"/>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
  <sheetViews>
    <sheetView showGridLines="0" zoomScaleNormal="100" workbookViewId="0">
      <selection activeCell="B17" sqref="B17"/>
    </sheetView>
  </sheetViews>
  <sheetFormatPr defaultColWidth="9.140625" defaultRowHeight="15" x14ac:dyDescent="0.25"/>
  <cols>
    <col min="1" max="1" width="34" style="10" customWidth="1"/>
    <col min="2" max="4" width="16" style="10" customWidth="1"/>
    <col min="5" max="5" width="9.5703125" style="10" customWidth="1"/>
    <col min="6" max="16384" width="9.140625" style="10"/>
  </cols>
  <sheetData>
    <row r="1" spans="1:8" ht="25.5" customHeight="1" x14ac:dyDescent="0.25">
      <c r="A1" s="9" t="s">
        <v>63</v>
      </c>
      <c r="B1" s="9"/>
      <c r="C1" s="9"/>
      <c r="D1" s="9"/>
      <c r="E1" s="9"/>
      <c r="F1" s="9"/>
      <c r="G1" s="9"/>
      <c r="H1" s="9"/>
    </row>
    <row r="3" spans="1:8" ht="18" customHeight="1" x14ac:dyDescent="0.25">
      <c r="A3" s="28" t="s">
        <v>64</v>
      </c>
      <c r="B3" s="28" t="s">
        <v>65</v>
      </c>
      <c r="C3" s="28" t="s">
        <v>66</v>
      </c>
      <c r="D3" s="28" t="s">
        <v>67</v>
      </c>
      <c r="E3" s="10" t="s">
        <v>68</v>
      </c>
      <c r="F3" t="s">
        <v>69</v>
      </c>
    </row>
    <row r="4" spans="1:8" x14ac:dyDescent="0.25">
      <c r="A4" s="31" t="s">
        <v>70</v>
      </c>
      <c r="B4" s="32">
        <f>335463725/1000</f>
        <v>335463.72499999998</v>
      </c>
      <c r="C4" s="32">
        <f>413594009/1000</f>
        <v>413594.00900000002</v>
      </c>
      <c r="D4" s="33">
        <f>463697861/1000</f>
        <v>463697.86099999998</v>
      </c>
      <c r="E4" s="34">
        <f>(C4/B4)-1</f>
        <v>0.23290233243549663</v>
      </c>
      <c r="F4" s="35">
        <f>(D4/C4)-1</f>
        <v>0.12114259614432643</v>
      </c>
    </row>
    <row r="5" spans="1:8" x14ac:dyDescent="0.25">
      <c r="A5" s="22" t="s">
        <v>71</v>
      </c>
      <c r="B5" s="32">
        <f>118548101/1000</f>
        <v>118548.101</v>
      </c>
      <c r="C5" s="32">
        <f>143867373/1000</f>
        <v>143867.37299999999</v>
      </c>
      <c r="D5" s="33">
        <f>180384890/1000</f>
        <v>180384.89</v>
      </c>
      <c r="F5">
        <f t="shared" ref="F5:F12" si="0">(D5/C5)-1</f>
        <v>0.25382764860799978</v>
      </c>
    </row>
    <row r="6" spans="1:8" x14ac:dyDescent="0.25">
      <c r="A6" s="31" t="s">
        <v>72</v>
      </c>
      <c r="B6" s="36">
        <f>B4-B5</f>
        <v>216915.62399999998</v>
      </c>
      <c r="C6" s="36">
        <f>C4-C5</f>
        <v>269726.63600000006</v>
      </c>
      <c r="D6" s="36">
        <f>D4-D5</f>
        <v>283312.97099999996</v>
      </c>
      <c r="F6">
        <f t="shared" si="0"/>
        <v>5.0370757599186078E-2</v>
      </c>
    </row>
    <row r="7" spans="1:8" x14ac:dyDescent="0.25">
      <c r="A7" s="22" t="s">
        <v>73</v>
      </c>
      <c r="B7" s="32">
        <f>32734212/1000</f>
        <v>32734.212</v>
      </c>
      <c r="C7" s="32">
        <f>46474060/1000</f>
        <v>46474.06</v>
      </c>
      <c r="D7" s="32">
        <f>36912918/1000</f>
        <v>36912.917999999998</v>
      </c>
      <c r="F7">
        <f t="shared" si="0"/>
        <v>-0.20573072376289048</v>
      </c>
    </row>
    <row r="8" spans="1:8" x14ac:dyDescent="0.25">
      <c r="A8" s="31" t="s">
        <v>74</v>
      </c>
      <c r="B8" s="36">
        <f>B6-B7+(46570522/1000)+(4109622/1000)</f>
        <v>234861.55599999998</v>
      </c>
      <c r="C8" s="36">
        <f>C6-C7+(154692085/1000)+(10543257/1000)</f>
        <v>388487.91800000006</v>
      </c>
      <c r="D8" s="36">
        <f>D6-D7+(41343692/1000)+(13186479/1000)</f>
        <v>300930.22399999993</v>
      </c>
      <c r="F8">
        <f t="shared" si="0"/>
        <v>-0.22538073886766308</v>
      </c>
    </row>
    <row r="9" spans="1:8" x14ac:dyDescent="0.25">
      <c r="A9" s="22" t="s">
        <v>75</v>
      </c>
      <c r="B9" s="33">
        <f>2340196/1000</f>
        <v>2340.1959999999999</v>
      </c>
      <c r="C9" s="33">
        <f>4715155/1000</f>
        <v>4715.1549999999997</v>
      </c>
      <c r="D9" s="33">
        <f>7143130/1000</f>
        <v>7143.13</v>
      </c>
      <c r="F9">
        <f t="shared" si="0"/>
        <v>0.5149300500195646</v>
      </c>
    </row>
    <row r="10" spans="1:8" x14ac:dyDescent="0.25">
      <c r="A10" s="31" t="s">
        <v>76</v>
      </c>
      <c r="B10" s="36">
        <f>B8-B9</f>
        <v>232521.36</v>
      </c>
      <c r="C10" s="36">
        <f>C8-C9</f>
        <v>383772.76300000004</v>
      </c>
      <c r="D10" s="36">
        <f>D8-D9</f>
        <v>293787.09399999992</v>
      </c>
      <c r="F10">
        <f t="shared" si="0"/>
        <v>-0.23447643417049924</v>
      </c>
    </row>
    <row r="11" spans="1:8" x14ac:dyDescent="0.25">
      <c r="A11" s="22" t="s">
        <v>4</v>
      </c>
      <c r="B11" s="33">
        <f>98737613/1000</f>
        <v>98737.612999999998</v>
      </c>
      <c r="C11" s="33">
        <f>159154966/1000</f>
        <v>159154.96599999999</v>
      </c>
      <c r="D11" s="32">
        <f>84811323/1000</f>
        <v>84811.323000000004</v>
      </c>
      <c r="F11">
        <f t="shared" si="0"/>
        <v>-0.46711481814522826</v>
      </c>
    </row>
    <row r="12" spans="1:8" x14ac:dyDescent="0.25">
      <c r="A12" s="31" t="s">
        <v>77</v>
      </c>
      <c r="B12" s="36">
        <f>B10-B11</f>
        <v>133783.74699999997</v>
      </c>
      <c r="C12" s="36">
        <f>C10-C11</f>
        <v>224617.79700000005</v>
      </c>
      <c r="D12" s="36">
        <f>D10-D11</f>
        <v>208975.77099999992</v>
      </c>
      <c r="F12">
        <f t="shared" si="0"/>
        <v>-6.9638408928033968E-2</v>
      </c>
    </row>
  </sheetData>
  <mergeCells count="1">
    <mergeCell ref="A1:H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showGridLines="0" zoomScaleNormal="100" workbookViewId="0">
      <selection activeCell="C11" sqref="C11"/>
    </sheetView>
  </sheetViews>
  <sheetFormatPr defaultColWidth="9.140625" defaultRowHeight="15" x14ac:dyDescent="0.25"/>
  <cols>
    <col min="1" max="1" width="34" style="10" customWidth="1"/>
    <col min="2" max="4" width="16" style="10" customWidth="1"/>
    <col min="5" max="16384" width="9.140625" style="10"/>
  </cols>
  <sheetData>
    <row r="1" spans="1:8" ht="25.5" customHeight="1" x14ac:dyDescent="0.25">
      <c r="A1" s="9" t="s">
        <v>78</v>
      </c>
      <c r="B1" s="9"/>
      <c r="C1" s="9"/>
      <c r="D1" s="9"/>
      <c r="E1" s="9"/>
      <c r="F1" s="9"/>
      <c r="G1" s="9"/>
      <c r="H1" s="9"/>
    </row>
    <row r="3" spans="1:8" ht="18" customHeight="1" x14ac:dyDescent="0.25">
      <c r="A3" s="28" t="s">
        <v>64</v>
      </c>
      <c r="B3" s="28" t="s">
        <v>65</v>
      </c>
      <c r="C3" s="28" t="s">
        <v>66</v>
      </c>
      <c r="D3" s="28" t="s">
        <v>67</v>
      </c>
    </row>
    <row r="4" spans="1:8" x14ac:dyDescent="0.25">
      <c r="A4" s="22" t="s">
        <v>79</v>
      </c>
      <c r="B4" s="37">
        <v>31631.050999999999</v>
      </c>
      <c r="C4" s="32">
        <v>25765.706999999999</v>
      </c>
      <c r="D4" s="32">
        <v>141030.201</v>
      </c>
    </row>
    <row r="5" spans="1:8" x14ac:dyDescent="0.25">
      <c r="A5" s="22" t="s">
        <v>80</v>
      </c>
      <c r="B5" s="32">
        <v>456594.83299999998</v>
      </c>
      <c r="C5" s="32">
        <v>576968.54500000004</v>
      </c>
      <c r="D5" s="32">
        <v>635016.33499999996</v>
      </c>
    </row>
    <row r="6" spans="1:8" x14ac:dyDescent="0.25">
      <c r="A6" s="22" t="s">
        <v>81</v>
      </c>
      <c r="B6" s="32">
        <v>20518.894</v>
      </c>
      <c r="C6" s="32">
        <v>23398.716</v>
      </c>
      <c r="D6" s="32">
        <v>24438.953000000001</v>
      </c>
    </row>
    <row r="7" spans="1:8" x14ac:dyDescent="0.25">
      <c r="A7" s="22" t="s">
        <v>82</v>
      </c>
      <c r="B7" s="32">
        <v>269792.848</v>
      </c>
      <c r="C7" s="32">
        <v>332984.66800000001</v>
      </c>
      <c r="D7" s="32">
        <v>260003.74600000001</v>
      </c>
    </row>
    <row r="8" spans="1:8" x14ac:dyDescent="0.25">
      <c r="A8" s="31" t="s">
        <v>83</v>
      </c>
      <c r="B8" s="36">
        <f>SUM( B4:B7)</f>
        <v>778537.62599999993</v>
      </c>
      <c r="C8" s="36">
        <f>SUM(C4:C7)</f>
        <v>959117.63600000017</v>
      </c>
      <c r="D8" s="36">
        <f>SUM(D4:D7)</f>
        <v>1060489.2349999999</v>
      </c>
    </row>
    <row r="9" spans="1:8" x14ac:dyDescent="0.25">
      <c r="A9" s="22" t="s">
        <v>84</v>
      </c>
      <c r="B9" s="32">
        <v>224208.55900000001</v>
      </c>
      <c r="C9" s="32">
        <v>214519.23699999999</v>
      </c>
      <c r="D9" s="32">
        <v>226572.576</v>
      </c>
    </row>
    <row r="10" spans="1:8" x14ac:dyDescent="0.25">
      <c r="A10" s="22" t="s">
        <v>85</v>
      </c>
      <c r="B10" s="32">
        <v>127236.868</v>
      </c>
      <c r="C10" s="32">
        <v>250428.421</v>
      </c>
      <c r="D10" s="32">
        <v>317192.32900000003</v>
      </c>
    </row>
    <row r="11" spans="1:8" x14ac:dyDescent="0.25">
      <c r="A11" s="31" t="s">
        <v>86</v>
      </c>
      <c r="B11" s="36">
        <f>SUM(B8:B10)</f>
        <v>1129983.0529999998</v>
      </c>
      <c r="C11" s="36">
        <f>SUM(C8:C10)</f>
        <v>1424065.2940000002</v>
      </c>
      <c r="D11" s="36">
        <f>SUM(D8:D10)</f>
        <v>1604254.1399999997</v>
      </c>
    </row>
    <row r="12" spans="1:8" x14ac:dyDescent="0.25">
      <c r="A12" s="22" t="s">
        <v>87</v>
      </c>
      <c r="B12" s="32">
        <v>105121.439</v>
      </c>
      <c r="C12" s="32">
        <v>123306.181</v>
      </c>
      <c r="D12" s="32">
        <v>139527.26199999999</v>
      </c>
    </row>
    <row r="13" spans="1:8" x14ac:dyDescent="0.25">
      <c r="A13" s="22" t="s">
        <v>88</v>
      </c>
      <c r="B13" s="32">
        <v>0</v>
      </c>
      <c r="C13" s="32">
        <v>0</v>
      </c>
      <c r="D13" s="32">
        <v>0</v>
      </c>
    </row>
    <row r="14" spans="1:8" x14ac:dyDescent="0.25">
      <c r="A14" s="22" t="s">
        <v>89</v>
      </c>
      <c r="B14" s="32">
        <v>33944.084000000003</v>
      </c>
      <c r="C14" s="32">
        <v>37657.826999999997</v>
      </c>
      <c r="D14" s="32">
        <v>41328.839999999997</v>
      </c>
    </row>
    <row r="15" spans="1:8" x14ac:dyDescent="0.25">
      <c r="A15" s="31" t="s">
        <v>90</v>
      </c>
      <c r="B15" s="36">
        <f>SUM( B12:B14)</f>
        <v>139065.52299999999</v>
      </c>
      <c r="C15" s="36">
        <f>SUM(C12:C14)</f>
        <v>160964.008</v>
      </c>
      <c r="D15" s="36">
        <f>SUM(D12:D14)</f>
        <v>180856.10199999998</v>
      </c>
    </row>
    <row r="16" spans="1:8" x14ac:dyDescent="0.25">
      <c r="A16" s="22" t="s">
        <v>91</v>
      </c>
      <c r="B16" s="32">
        <v>0</v>
      </c>
      <c r="C16" s="32">
        <v>0</v>
      </c>
      <c r="D16" s="32">
        <v>0</v>
      </c>
    </row>
    <row r="17" spans="1:4" x14ac:dyDescent="0.25">
      <c r="A17" s="22" t="s">
        <v>92</v>
      </c>
      <c r="B17" s="32">
        <v>115524.96400000001</v>
      </c>
      <c r="C17" s="32">
        <v>180203.40900000001</v>
      </c>
      <c r="D17" s="32">
        <v>172901.82</v>
      </c>
    </row>
    <row r="18" spans="1:4" x14ac:dyDescent="0.25">
      <c r="A18" s="31" t="s">
        <v>93</v>
      </c>
      <c r="B18" s="36">
        <f>SUM( B15:B17)</f>
        <v>254590.48699999999</v>
      </c>
      <c r="C18" s="36">
        <f>SUM(C15:C17)</f>
        <v>341167.41700000002</v>
      </c>
      <c r="D18" s="36">
        <f>SUM(D15:D17)</f>
        <v>353757.92200000002</v>
      </c>
    </row>
    <row r="19" spans="1:4" x14ac:dyDescent="0.25">
      <c r="A19" s="22" t="s">
        <v>94</v>
      </c>
      <c r="B19" s="32">
        <v>43009.284</v>
      </c>
      <c r="C19" s="32">
        <v>43009.284</v>
      </c>
      <c r="D19" s="32">
        <v>43009.284</v>
      </c>
    </row>
    <row r="20" spans="1:4" x14ac:dyDescent="0.25">
      <c r="A20" s="22" t="s">
        <v>95</v>
      </c>
      <c r="B20" s="32">
        <v>832383.28200000001</v>
      </c>
      <c r="C20" s="32">
        <v>1039888.593</v>
      </c>
      <c r="D20" s="32">
        <v>1207486.9339999999</v>
      </c>
    </row>
    <row r="21" spans="1:4" x14ac:dyDescent="0.25">
      <c r="A21" s="31" t="s">
        <v>96</v>
      </c>
      <c r="B21" s="36">
        <f>B19+B20</f>
        <v>875392.56599999999</v>
      </c>
      <c r="C21" s="36">
        <f>C19+C20</f>
        <v>1082897.8770000001</v>
      </c>
      <c r="D21" s="36">
        <f>D19+D20</f>
        <v>1250496.2179999999</v>
      </c>
    </row>
    <row r="22" spans="1:4" x14ac:dyDescent="0.25">
      <c r="A22" s="31" t="s">
        <v>97</v>
      </c>
      <c r="B22" s="36">
        <f>B18+B21</f>
        <v>1129983.0530000001</v>
      </c>
      <c r="C22" s="36">
        <f>C18+C21</f>
        <v>1424065.2940000002</v>
      </c>
      <c r="D22" s="36">
        <f>D18+D21</f>
        <v>1604254.14</v>
      </c>
    </row>
    <row r="24" spans="1:4" x14ac:dyDescent="0.25">
      <c r="A24" s="10" t="s">
        <v>98</v>
      </c>
      <c r="B24" s="38">
        <f>(B5+B6+B7)-(B12+B14)</f>
        <v>607841.05199999991</v>
      </c>
      <c r="C24" s="38">
        <f>(C5+C6+C7)-(C12+C14)</f>
        <v>772387.92099999997</v>
      </c>
      <c r="D24" s="38">
        <f>(D5+D6+D7)-(D12+D14)</f>
        <v>738602.93200000003</v>
      </c>
    </row>
    <row r="25" spans="1:4" x14ac:dyDescent="0.25">
      <c r="A25" s="10" t="s">
        <v>99</v>
      </c>
      <c r="C25" s="38">
        <f>C24-B24</f>
        <v>164546.86900000006</v>
      </c>
      <c r="D25" s="38">
        <f>D24-C24</f>
        <v>-33784.988999999943</v>
      </c>
    </row>
    <row r="26" spans="1:4" x14ac:dyDescent="0.25">
      <c r="A26" s="10" t="s">
        <v>100</v>
      </c>
      <c r="C26" s="39">
        <f>C25/INCOME_S!C4</f>
        <v>0.39784635516807026</v>
      </c>
      <c r="D26" s="39">
        <f>D25/INCOME_S!D4</f>
        <v>-7.2859919877870521E-2</v>
      </c>
    </row>
    <row r="27" spans="1:4" x14ac:dyDescent="0.25">
      <c r="A27" s="10" t="s">
        <v>101</v>
      </c>
      <c r="B27" s="10" t="s">
        <v>102</v>
      </c>
    </row>
  </sheetData>
  <mergeCells count="1">
    <mergeCell ref="A1:H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
  <sheetViews>
    <sheetView showGridLines="0" zoomScaleNormal="100" workbookViewId="0">
      <selection activeCell="A4" sqref="A4"/>
    </sheetView>
  </sheetViews>
  <sheetFormatPr defaultColWidth="9.140625" defaultRowHeight="15" x14ac:dyDescent="0.25"/>
  <cols>
    <col min="1" max="1" width="45" style="10" customWidth="1"/>
    <col min="2" max="4" width="16" style="10" customWidth="1"/>
    <col min="5" max="16384" width="9.140625" style="10"/>
  </cols>
  <sheetData>
    <row r="1" spans="1:8" ht="25.5" customHeight="1" x14ac:dyDescent="0.25">
      <c r="A1" s="9" t="s">
        <v>103</v>
      </c>
      <c r="B1" s="9"/>
      <c r="C1" s="9"/>
      <c r="D1" s="9"/>
      <c r="E1" s="9"/>
      <c r="F1" s="9"/>
      <c r="G1" s="9"/>
      <c r="H1" s="9"/>
    </row>
    <row r="3" spans="1:8" ht="18" customHeight="1" x14ac:dyDescent="0.25">
      <c r="A3" s="28" t="s">
        <v>64</v>
      </c>
      <c r="B3" s="28" t="s">
        <v>65</v>
      </c>
      <c r="C3" s="28" t="s">
        <v>66</v>
      </c>
      <c r="D3" s="28" t="s">
        <v>67</v>
      </c>
    </row>
    <row r="4" spans="1:8" x14ac:dyDescent="0.25">
      <c r="A4" s="22" t="s">
        <v>104</v>
      </c>
      <c r="B4" s="32">
        <v>72364.346000000005</v>
      </c>
      <c r="C4" s="32">
        <v>27817.162</v>
      </c>
      <c r="D4" s="32">
        <v>104763.92</v>
      </c>
    </row>
    <row r="5" spans="1:8" x14ac:dyDescent="0.25">
      <c r="A5" s="22" t="s">
        <v>105</v>
      </c>
      <c r="B5" s="32">
        <v>-49752.91</v>
      </c>
      <c r="C5" s="32">
        <v>12234.661</v>
      </c>
      <c r="D5" s="32">
        <v>78939.918999999994</v>
      </c>
    </row>
    <row r="6" spans="1:8" x14ac:dyDescent="0.25">
      <c r="A6" s="22" t="s">
        <v>106</v>
      </c>
      <c r="B6" s="32">
        <v>-22258.866999999998</v>
      </c>
      <c r="C6" s="32">
        <v>-31983.963</v>
      </c>
      <c r="D6" s="32">
        <v>-34392.203000000001</v>
      </c>
    </row>
    <row r="7" spans="1:8" x14ac:dyDescent="0.25">
      <c r="A7" s="31" t="s">
        <v>107</v>
      </c>
      <c r="B7" s="36">
        <f>SUM(B4:B6)</f>
        <v>352.56900000000314</v>
      </c>
      <c r="C7" s="36">
        <f>SUM(C4:C6)</f>
        <v>8067.8600000000042</v>
      </c>
      <c r="D7" s="36">
        <f>SUM(D4:D6)</f>
        <v>149311.63599999997</v>
      </c>
    </row>
    <row r="8" spans="1:8" x14ac:dyDescent="0.25">
      <c r="A8" s="31" t="s">
        <v>108</v>
      </c>
      <c r="B8" s="36">
        <v>16063.029</v>
      </c>
      <c r="C8" s="36">
        <v>79875.941999999995</v>
      </c>
      <c r="D8" s="36">
        <v>-3538.759</v>
      </c>
    </row>
    <row r="9" spans="1:8" x14ac:dyDescent="0.25">
      <c r="A9" s="22" t="s">
        <v>109</v>
      </c>
      <c r="B9" s="32">
        <v>63460.343999999997</v>
      </c>
      <c r="C9" s="32">
        <v>24896.562000000002</v>
      </c>
      <c r="D9" s="32">
        <v>112840.364</v>
      </c>
    </row>
    <row r="10" spans="1:8" x14ac:dyDescent="0.25">
      <c r="A10" s="31" t="s">
        <v>110</v>
      </c>
      <c r="B10" s="36">
        <f>SUM(B7:B9)</f>
        <v>79875.94200000001</v>
      </c>
      <c r="C10" s="36">
        <f>SUM(C7:C9)</f>
        <v>112840.364</v>
      </c>
      <c r="D10" s="36">
        <f>SUM(D7:D9)</f>
        <v>258613.24099999998</v>
      </c>
      <c r="G10" s="40"/>
    </row>
    <row r="12" spans="1:8" x14ac:dyDescent="0.25">
      <c r="A12" s="41" t="s">
        <v>111</v>
      </c>
      <c r="B12" s="42">
        <v>-25130</v>
      </c>
      <c r="C12" s="42">
        <v>-13180.8</v>
      </c>
      <c r="D12" s="42">
        <v>-45036.4</v>
      </c>
    </row>
    <row r="13" spans="1:8" x14ac:dyDescent="0.25">
      <c r="A13" s="41" t="s">
        <v>112</v>
      </c>
      <c r="B13" s="43">
        <f>-B12/INCOME_S!B4</f>
        <v>7.4911229224560727E-2</v>
      </c>
      <c r="C13" s="43">
        <f>-C12/INCOME_S!C4</f>
        <v>3.1868933575389384E-2</v>
      </c>
      <c r="D13" s="43">
        <f>-D12/INCOME_S!D4</f>
        <v>9.7124450612895971E-2</v>
      </c>
    </row>
  </sheetData>
  <mergeCells count="1">
    <mergeCell ref="A1:H1"/>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5"/>
  <sheetViews>
    <sheetView showGridLines="0" zoomScaleNormal="100" workbookViewId="0">
      <selection activeCell="D23" sqref="D23"/>
    </sheetView>
  </sheetViews>
  <sheetFormatPr defaultColWidth="9.140625" defaultRowHeight="15" x14ac:dyDescent="0.25"/>
  <cols>
    <col min="1" max="1" width="34" style="10" customWidth="1"/>
    <col min="2" max="4" width="16" style="10" customWidth="1"/>
    <col min="5" max="7" width="9.140625" style="10"/>
    <col min="8" max="8" width="9.42578125" style="10" customWidth="1"/>
    <col min="9" max="16384" width="9.140625" style="10"/>
  </cols>
  <sheetData>
    <row r="1" spans="1:8" s="11" customFormat="1" ht="20.25" customHeight="1" x14ac:dyDescent="0.25">
      <c r="A1" s="11" t="s">
        <v>113</v>
      </c>
    </row>
    <row r="3" spans="1:8" ht="19.5" customHeight="1" x14ac:dyDescent="0.25">
      <c r="A3" s="8" t="s">
        <v>114</v>
      </c>
      <c r="B3" s="8"/>
      <c r="C3" s="8"/>
      <c r="D3" s="8"/>
      <c r="E3" s="8"/>
      <c r="F3" s="8"/>
      <c r="G3" s="8"/>
      <c r="H3" s="8"/>
    </row>
    <row r="4" spans="1:8" ht="18" customHeight="1" x14ac:dyDescent="0.25">
      <c r="A4" s="28" t="s">
        <v>64</v>
      </c>
      <c r="B4" s="28" t="s">
        <v>65</v>
      </c>
      <c r="C4" s="28" t="s">
        <v>66</v>
      </c>
      <c r="D4" s="28" t="s">
        <v>67</v>
      </c>
    </row>
    <row r="5" spans="1:8" x14ac:dyDescent="0.25">
      <c r="A5" s="31" t="s">
        <v>70</v>
      </c>
      <c r="B5" s="44">
        <f>INCOME_S!B4/INCOME_S!B4</f>
        <v>1</v>
      </c>
      <c r="C5" s="44">
        <f>INCOME_S!C4/INCOME_S!C4</f>
        <v>1</v>
      </c>
      <c r="D5" s="44">
        <f>INCOME_S!D4/INCOME_S!D4</f>
        <v>1</v>
      </c>
      <c r="E5" s="45"/>
    </row>
    <row r="6" spans="1:8" x14ac:dyDescent="0.25">
      <c r="A6" s="22" t="s">
        <v>71</v>
      </c>
      <c r="B6" s="44">
        <f>INCOME_S!B5/INCOME_S!B4</f>
        <v>0.35338575281127638</v>
      </c>
      <c r="C6" s="44">
        <f>INCOME_S!C5/INCOME_S!C4</f>
        <v>0.34784684949341221</v>
      </c>
      <c r="D6" s="44">
        <f>INCOME_S!D5/INCOME_S!D4</f>
        <v>0.38901384968864461</v>
      </c>
    </row>
    <row r="7" spans="1:8" x14ac:dyDescent="0.25">
      <c r="A7" s="31" t="s">
        <v>72</v>
      </c>
      <c r="B7" s="44">
        <f>(INCOME_S!B6/INCOME_S!B4)</f>
        <v>0.64661424718872362</v>
      </c>
      <c r="C7" s="44">
        <f>(INCOME_S!C6/INCOME_S!C4)</f>
        <v>0.65215315050658784</v>
      </c>
      <c r="D7" s="44">
        <f>(INCOME_S!D6/INCOME_S!D4)</f>
        <v>0.61098615031135539</v>
      </c>
    </row>
    <row r="8" spans="1:8" x14ac:dyDescent="0.25">
      <c r="A8" s="22" t="s">
        <v>73</v>
      </c>
      <c r="B8" s="44">
        <f>(INCOME_S!B7/INCOME_S!B4)</f>
        <v>9.7578991588434791E-2</v>
      </c>
      <c r="C8" s="44">
        <f>(INCOME_S!C7/INCOME_S!C4)</f>
        <v>0.11236637617736865</v>
      </c>
      <c r="D8" s="44">
        <f>(INCOME_S!D7/INCOME_S!D4)</f>
        <v>7.9605538659148573E-2</v>
      </c>
    </row>
    <row r="9" spans="1:8" x14ac:dyDescent="0.25">
      <c r="A9" s="31" t="s">
        <v>74</v>
      </c>
      <c r="B9" s="44">
        <f>(INCOME_S!B8/INCOME_S!B4)</f>
        <v>0.70011014156597706</v>
      </c>
      <c r="C9" s="44">
        <f>(INCOME_S!C8/INCOME_S!C4)</f>
        <v>0.93929774016625089</v>
      </c>
      <c r="D9" s="44">
        <f>(INCOME_S!D8/INCOME_S!D4)</f>
        <v>0.64897910754002797</v>
      </c>
    </row>
    <row r="10" spans="1:8" x14ac:dyDescent="0.25">
      <c r="A10" s="22" t="s">
        <v>75</v>
      </c>
      <c r="B10" s="44">
        <f>(INCOME_S!B9/INCOME_S!B4)</f>
        <v>6.9760031431118225E-3</v>
      </c>
      <c r="C10" s="44">
        <f>(INCOME_S!C9/INCOME_S!C4)</f>
        <v>1.1400443181951408E-2</v>
      </c>
      <c r="D10" s="44">
        <f>(INCOME_S!D9/INCOME_S!D4)</f>
        <v>1.5404707678821922E-2</v>
      </c>
    </row>
    <row r="11" spans="1:8" x14ac:dyDescent="0.25">
      <c r="A11" s="22" t="s">
        <v>76</v>
      </c>
      <c r="B11" s="44">
        <f>(INCOME_S!B10/INCOME_S!B4)</f>
        <v>0.6931341384228652</v>
      </c>
      <c r="C11" s="44">
        <f>(INCOME_S!C10/INCOME_S!C4)</f>
        <v>0.92789729698429946</v>
      </c>
      <c r="D11" s="44">
        <f>(INCOME_S!D10/INCOME_S!D4)</f>
        <v>0.63357439986120601</v>
      </c>
    </row>
    <row r="12" spans="1:8" x14ac:dyDescent="0.25">
      <c r="A12" s="22" t="s">
        <v>4</v>
      </c>
      <c r="B12" s="44">
        <f>(INCOME_S!B11/INCOME_S!B4)</f>
        <v>0.29433171351090198</v>
      </c>
      <c r="C12" s="44">
        <f>(INCOME_S!C11/INCOME_S!C4)</f>
        <v>0.38480965037382825</v>
      </c>
      <c r="D12" s="44">
        <f>(INCOME_S!D11/INCOME_S!D4)</f>
        <v>0.18290212255259899</v>
      </c>
    </row>
    <row r="13" spans="1:8" x14ac:dyDescent="0.25">
      <c r="A13" s="31" t="s">
        <v>77</v>
      </c>
      <c r="B13" s="44">
        <f>(INCOME_S!B12/INCOME_S!B4)</f>
        <v>0.39880242491196322</v>
      </c>
      <c r="C13" s="44">
        <f>(INCOME_S!C12/INCOME_S!C4)</f>
        <v>0.54308764661047115</v>
      </c>
      <c r="D13" s="44">
        <f>(INCOME_S!D12/INCOME_S!D4)</f>
        <v>0.45067227730860704</v>
      </c>
    </row>
    <row r="16" spans="1:8" ht="19.5" customHeight="1" x14ac:dyDescent="0.25">
      <c r="A16" s="8" t="s">
        <v>115</v>
      </c>
      <c r="B16" s="8"/>
      <c r="C16" s="8"/>
      <c r="D16" s="8"/>
      <c r="E16" s="8"/>
      <c r="F16" s="8"/>
      <c r="G16" s="8"/>
      <c r="H16" s="8"/>
    </row>
    <row r="17" spans="1:4" ht="18" customHeight="1" x14ac:dyDescent="0.25">
      <c r="A17" s="28" t="s">
        <v>64</v>
      </c>
      <c r="B17" s="28" t="s">
        <v>65</v>
      </c>
      <c r="C17" s="28" t="s">
        <v>66</v>
      </c>
      <c r="D17" s="28" t="s">
        <v>67</v>
      </c>
    </row>
    <row r="18" spans="1:4" x14ac:dyDescent="0.25">
      <c r="A18" s="22" t="s">
        <v>79</v>
      </c>
      <c r="B18" s="44">
        <f>(BALANCE_S!B4/BALANCE_S!B11)</f>
        <v>2.7992500344162244E-2</v>
      </c>
      <c r="C18" s="44">
        <f>(BALANCE_S!C4/BALANCE_S!C11)</f>
        <v>1.8093065752362893E-2</v>
      </c>
      <c r="D18" s="44">
        <f>(BALANCE_S!D4/BALANCE_S!D11)</f>
        <v>8.7910136856495832E-2</v>
      </c>
    </row>
    <row r="19" spans="1:4" x14ac:dyDescent="0.25">
      <c r="A19" s="22" t="s">
        <v>80</v>
      </c>
      <c r="B19" s="44">
        <f>(BALANCE_S!B5/BALANCE_S!B11)</f>
        <v>0.40407228390530564</v>
      </c>
      <c r="C19" s="44">
        <f>(BALANCE_S!C5/BALANCE_S!C11)</f>
        <v>0.40515596260293379</v>
      </c>
      <c r="D19" s="44">
        <f>(BALANCE_S!D5/BALANCE_S!D11)</f>
        <v>0.39583275440386279</v>
      </c>
    </row>
    <row r="20" spans="1:4" x14ac:dyDescent="0.25">
      <c r="A20" s="22" t="s">
        <v>81</v>
      </c>
      <c r="B20" s="44">
        <f>(BALANCE_S!B6/BALANCE_S!B11)</f>
        <v>1.8158585604911726E-2</v>
      </c>
      <c r="C20" s="44">
        <f>(BALANCE_S!C6/BALANCE_S!C11)</f>
        <v>1.6430929184627678E-2</v>
      </c>
      <c r="D20" s="44">
        <f>(BALANCE_S!D6/BALANCE_S!D11)</f>
        <v>1.5233841316438807E-2</v>
      </c>
    </row>
    <row r="21" spans="1:4" x14ac:dyDescent="0.25">
      <c r="A21" s="31" t="s">
        <v>83</v>
      </c>
      <c r="B21" s="44">
        <f>(BALANCE_S!B8/BALANCE_S!B11)</f>
        <v>0.68898168333857313</v>
      </c>
      <c r="C21" s="44">
        <f>(BALANCE_S!C8/BALANCE_S!C11)</f>
        <v>0.67350678374161688</v>
      </c>
      <c r="D21" s="44">
        <f>(BALANCE_S!D8/BALANCE_S!D11)</f>
        <v>0.66104815225846958</v>
      </c>
    </row>
    <row r="22" spans="1:4" x14ac:dyDescent="0.25">
      <c r="A22" s="22" t="s">
        <v>84</v>
      </c>
      <c r="B22" s="44">
        <f>(BALANCE_S!B9/BALANCE_S!B11)</f>
        <v>0.19841762971997426</v>
      </c>
      <c r="C22" s="44">
        <f>(BALANCE_S!C9/BALANCE_S!C11)</f>
        <v>0.15063862443936504</v>
      </c>
      <c r="D22" s="44">
        <f>(BALANCE_S!D9/BALANCE_S!D11)</f>
        <v>0.14123234614186506</v>
      </c>
    </row>
    <row r="23" spans="1:4" x14ac:dyDescent="0.25">
      <c r="A23" s="31" t="s">
        <v>86</v>
      </c>
      <c r="B23" s="44">
        <f>(BALANCE_S!B11/BALANCE_S!B11)</f>
        <v>1</v>
      </c>
      <c r="C23" s="44">
        <f>(BALANCE_S!C11/BALANCE_S!C11)</f>
        <v>1</v>
      </c>
      <c r="D23" s="44">
        <f>(BALANCE_S!D11/BALANCE_S!D11)</f>
        <v>1</v>
      </c>
    </row>
    <row r="24" spans="1:4" x14ac:dyDescent="0.25">
      <c r="A24" s="31" t="s">
        <v>93</v>
      </c>
      <c r="B24" s="44">
        <f>(BALANCE_S!B18/BALANCE_S!B11)</f>
        <v>0.22530469490147303</v>
      </c>
      <c r="C24" s="44">
        <f>(BALANCE_S!C18/BALANCE_S!C11)</f>
        <v>0.23957287523081786</v>
      </c>
      <c r="D24" s="44">
        <f>(BALANCE_S!D18/BALANCE_S!D11)</f>
        <v>0.22051239462595376</v>
      </c>
    </row>
    <row r="25" spans="1:4" x14ac:dyDescent="0.25">
      <c r="A25" s="31" t="s">
        <v>96</v>
      </c>
      <c r="B25" s="44">
        <f>(BALANCE_S!B21/BALANCE_S!B11)</f>
        <v>0.77469530509852713</v>
      </c>
      <c r="C25" s="44">
        <f>(BALANCE_S!C21/BALANCE_S!C11)</f>
        <v>0.76042712476918206</v>
      </c>
      <c r="D25" s="44">
        <f>(BALANCE_S!D21/BALANCE_S!D11)</f>
        <v>0.77948760537404638</v>
      </c>
    </row>
  </sheetData>
  <mergeCells count="2">
    <mergeCell ref="A3:H3"/>
    <mergeCell ref="A16:H16"/>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showGridLines="0" topLeftCell="A2" zoomScaleNormal="100" workbookViewId="0">
      <selection activeCell="D6" sqref="D6"/>
    </sheetView>
  </sheetViews>
  <sheetFormatPr defaultColWidth="9.140625" defaultRowHeight="15" x14ac:dyDescent="0.25"/>
  <cols>
    <col min="1" max="1" width="25.5703125" style="10" customWidth="1"/>
    <col min="2" max="4" width="8.28515625" style="10" customWidth="1"/>
    <col min="5" max="5" width="29.85546875" style="10" customWidth="1"/>
    <col min="6" max="6" width="61.7109375" style="10" customWidth="1"/>
    <col min="7" max="16384" width="9.140625" style="10"/>
  </cols>
  <sheetData>
    <row r="1" spans="1:9" ht="25.5" customHeight="1" x14ac:dyDescent="0.25">
      <c r="A1" s="9" t="s">
        <v>116</v>
      </c>
      <c r="B1" s="9"/>
      <c r="C1" s="9"/>
      <c r="D1" s="9"/>
      <c r="E1" s="9"/>
      <c r="F1" s="9"/>
      <c r="G1" s="9"/>
      <c r="H1" s="9"/>
      <c r="I1" s="9"/>
    </row>
    <row r="3" spans="1:9" x14ac:dyDescent="0.25">
      <c r="A3" s="28" t="s">
        <v>117</v>
      </c>
      <c r="B3" s="28" t="s">
        <v>65</v>
      </c>
      <c r="C3" s="28" t="s">
        <v>66</v>
      </c>
      <c r="D3" s="28" t="s">
        <v>67</v>
      </c>
      <c r="E3" s="28" t="s">
        <v>118</v>
      </c>
      <c r="F3" s="28" t="s">
        <v>119</v>
      </c>
    </row>
    <row r="4" spans="1:9" x14ac:dyDescent="0.25">
      <c r="A4" s="22" t="s">
        <v>120</v>
      </c>
      <c r="B4" s="44">
        <f>(INCOME_S!B6/INCOME_S!B4)</f>
        <v>0.64661424718872362</v>
      </c>
      <c r="C4" s="44">
        <f>(INCOME_S!C6/INCOME_S!C4)</f>
        <v>0.65215315050658784</v>
      </c>
      <c r="D4" s="44">
        <f>(INCOME_S!D6/INCOME_S!D4)</f>
        <v>0.61098615031135539</v>
      </c>
      <c r="E4" s="44" t="s">
        <v>121</v>
      </c>
      <c r="F4" s="22" t="s">
        <v>122</v>
      </c>
    </row>
    <row r="5" spans="1:9" x14ac:dyDescent="0.25">
      <c r="A5" s="22" t="s">
        <v>123</v>
      </c>
      <c r="B5" s="44">
        <f>(INCOME_S!B8/INCOME_S!B4)</f>
        <v>0.70011014156597706</v>
      </c>
      <c r="C5" s="44">
        <f>(INCOME_S!C8/INCOME_S!C4)</f>
        <v>0.93929774016625089</v>
      </c>
      <c r="D5" s="44">
        <f>(INCOME_S!D8/INCOME_S!D4)</f>
        <v>0.64897910754002797</v>
      </c>
      <c r="E5" s="44" t="s">
        <v>124</v>
      </c>
      <c r="F5" s="22" t="s">
        <v>125</v>
      </c>
    </row>
    <row r="6" spans="1:9" x14ac:dyDescent="0.25">
      <c r="A6" s="22" t="s">
        <v>126</v>
      </c>
      <c r="B6" s="44">
        <f>(INCOME_S!B12/INCOME_S!B4)</f>
        <v>0.39880242491196322</v>
      </c>
      <c r="C6" s="44">
        <f>(INCOME_S!C12/INCOME_S!C4)</f>
        <v>0.54308764661047115</v>
      </c>
      <c r="D6" s="44">
        <f>(INCOME_S!D12/INCOME_S!D4)</f>
        <v>0.45067227730860704</v>
      </c>
      <c r="E6" s="44" t="s">
        <v>127</v>
      </c>
      <c r="F6" s="22" t="s">
        <v>128</v>
      </c>
    </row>
    <row r="7" spans="1:9" x14ac:dyDescent="0.25">
      <c r="A7" s="22" t="s">
        <v>129</v>
      </c>
      <c r="B7" s="44">
        <f>(INCOME_S!B12/BALANCE_S!B11)</f>
        <v>0.11839447206293632</v>
      </c>
      <c r="C7" s="44">
        <f>(INCOME_S!C12/BALANCE_S!C11)</f>
        <v>0.15772998467582908</v>
      </c>
      <c r="D7" s="44">
        <f>(INCOME_S!D12/BALANCE_S!D11)</f>
        <v>0.13026350737670528</v>
      </c>
      <c r="E7" s="44" t="s">
        <v>130</v>
      </c>
      <c r="F7" s="22" t="s">
        <v>131</v>
      </c>
    </row>
    <row r="8" spans="1:9" x14ac:dyDescent="0.25">
      <c r="A8" s="22" t="s">
        <v>132</v>
      </c>
      <c r="B8" s="44">
        <f>(INCOME_S!B12/BALANCE_S!B21)</f>
        <v>0.15282714543865566</v>
      </c>
      <c r="C8" s="44">
        <f>(INCOME_S!C12/BALANCE_S!C21)</f>
        <v>0.20742288056032454</v>
      </c>
      <c r="D8" s="44">
        <f>(INCOME_S!D12/BALANCE_S!D21)</f>
        <v>0.16711427671027146</v>
      </c>
      <c r="E8" s="44" t="s">
        <v>133</v>
      </c>
      <c r="F8" s="22" t="s">
        <v>134</v>
      </c>
    </row>
    <row r="9" spans="1:9" x14ac:dyDescent="0.25">
      <c r="A9" s="22" t="s">
        <v>135</v>
      </c>
      <c r="B9" s="46">
        <f>(BALANCE_S!B8/BALANCE_S!B15)</f>
        <v>5.5983511168328901</v>
      </c>
      <c r="C9" s="46">
        <f>(BALANCE_S!C8/BALANCE_S!C15)</f>
        <v>5.9585844557250347</v>
      </c>
      <c r="D9" s="46">
        <f>(BALANCE_S!D8/BALANCE_S!D15)</f>
        <v>5.863718300198685</v>
      </c>
      <c r="E9" s="44" t="s">
        <v>136</v>
      </c>
      <c r="F9" s="22" t="s">
        <v>137</v>
      </c>
    </row>
    <row r="10" spans="1:9" x14ac:dyDescent="0.25">
      <c r="A10" s="22" t="s">
        <v>138</v>
      </c>
      <c r="B10" s="46">
        <f>(BALANCE_S!B18/BALANCE_S!B21)</f>
        <v>0.29083007657161208</v>
      </c>
      <c r="C10" s="46">
        <f>(BALANCE_S!C18/BALANCE_S!C21)</f>
        <v>0.31505040710316212</v>
      </c>
      <c r="D10" s="46">
        <f>(BALANCE_S!D18/BALANCE_S!D21)</f>
        <v>0.28289403590983114</v>
      </c>
      <c r="E10" s="46" t="s">
        <v>139</v>
      </c>
      <c r="F10" s="22" t="s">
        <v>140</v>
      </c>
    </row>
    <row r="11" spans="1:9" x14ac:dyDescent="0.25">
      <c r="A11" s="22" t="s">
        <v>141</v>
      </c>
      <c r="B11" s="46">
        <f>INCOME_S!B8/ABS(INCOME_S!B9)</f>
        <v>100.35978012098131</v>
      </c>
      <c r="C11" s="46">
        <f>INCOME_S!C8/ABS(INCOME_S!C9)</f>
        <v>82.3913355976633</v>
      </c>
      <c r="D11" s="46">
        <f>INCOME_S!D8/ABS(INCOME_S!D9)</f>
        <v>42.128622046637808</v>
      </c>
      <c r="E11" s="46" t="s">
        <v>142</v>
      </c>
      <c r="F11" s="22" t="s">
        <v>143</v>
      </c>
    </row>
    <row r="12" spans="1:9" x14ac:dyDescent="0.25">
      <c r="A12" s="22" t="s">
        <v>144</v>
      </c>
      <c r="B12" s="46">
        <f>(CF_S!B4/INCOME_S!B12)</f>
        <v>0.54090536124690858</v>
      </c>
      <c r="C12" s="46">
        <f>(CF_S!C4/INCOME_S!C12)</f>
        <v>0.1238421993783511</v>
      </c>
      <c r="D12" s="46">
        <f>(CF_S!D4/INCOME_S!D12)</f>
        <v>0.50132089236316313</v>
      </c>
      <c r="E12" s="46" t="s">
        <v>145</v>
      </c>
      <c r="F12" s="22" t="s">
        <v>146</v>
      </c>
    </row>
    <row r="13" spans="1:9" x14ac:dyDescent="0.25">
      <c r="A13" s="22" t="s">
        <v>147</v>
      </c>
      <c r="B13" s="46">
        <f>INCOME_S!B12/INPUTS!B14</f>
        <v>31.105783346683936</v>
      </c>
      <c r="C13" s="46">
        <f>INCOME_S!C12/INPUTS!B14</f>
        <v>52.225421143955813</v>
      </c>
      <c r="D13" s="46">
        <f>INCOME_S!D12/INPUTS!B14</f>
        <v>48.58852590989423</v>
      </c>
      <c r="E13" s="46" t="s">
        <v>148</v>
      </c>
      <c r="F13" s="22" t="s">
        <v>149</v>
      </c>
    </row>
    <row r="14" spans="1:9" x14ac:dyDescent="0.25">
      <c r="A14" s="22" t="s">
        <v>150</v>
      </c>
      <c r="B14" s="46">
        <f>BALANCE_S!B21/INPUTS!B14</f>
        <v>203.53572172928989</v>
      </c>
      <c r="C14" s="46">
        <f>BALANCE_S!C21/INPUTS!B14</f>
        <v>251.78235401454256</v>
      </c>
      <c r="D14" s="46">
        <f>BALANCE_S!D21/INPUTS!B14</f>
        <v>290.75029893545775</v>
      </c>
      <c r="E14" s="46" t="s">
        <v>151</v>
      </c>
      <c r="F14" s="22" t="s">
        <v>152</v>
      </c>
    </row>
    <row r="15" spans="1:9" ht="30" customHeight="1" x14ac:dyDescent="0.25">
      <c r="A15" s="27" t="s">
        <v>153</v>
      </c>
      <c r="B15" s="27">
        <f>INPUTS!C5/B13</f>
        <v>2.5365058041018993</v>
      </c>
      <c r="C15" s="27">
        <f>INPUTS!D5/C13</f>
        <v>1.4906533694656434</v>
      </c>
      <c r="D15" s="27">
        <f>INPUTS!E5/D13</f>
        <v>2.7815208934436719</v>
      </c>
      <c r="E15" s="27" t="s">
        <v>154</v>
      </c>
      <c r="F15" s="47" t="s">
        <v>155</v>
      </c>
    </row>
    <row r="16" spans="1:9" ht="30" customHeight="1" x14ac:dyDescent="0.25">
      <c r="A16" s="27" t="s">
        <v>156</v>
      </c>
      <c r="B16" s="27">
        <f>INPUTS!C5/B14</f>
        <v>0.3876469414294752</v>
      </c>
      <c r="C16" s="27">
        <f>INPUTS!D5/C14</f>
        <v>0.3091956158115175</v>
      </c>
      <c r="D16" s="27">
        <f>INPUTS!E5/D14</f>
        <v>0.4648318522623473</v>
      </c>
      <c r="E16" s="27" t="s">
        <v>157</v>
      </c>
      <c r="F16" s="47" t="s">
        <v>158</v>
      </c>
    </row>
  </sheetData>
  <mergeCells count="1">
    <mergeCell ref="A1:I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4"/>
  <sheetViews>
    <sheetView topLeftCell="A11" zoomScaleNormal="100" workbookViewId="0">
      <selection activeCell="E20" sqref="E20"/>
    </sheetView>
  </sheetViews>
  <sheetFormatPr defaultColWidth="9.140625" defaultRowHeight="15" x14ac:dyDescent="0.25"/>
  <cols>
    <col min="1" max="1" width="22.140625" style="10" customWidth="1"/>
    <col min="2" max="2" width="19.5703125" style="10" customWidth="1"/>
    <col min="3" max="3" width="19.7109375" style="10" customWidth="1"/>
    <col min="4" max="4" width="12.140625" style="10" customWidth="1"/>
    <col min="5" max="5" width="11.85546875" style="10" customWidth="1"/>
    <col min="6" max="8" width="14.28515625" style="10" customWidth="1"/>
    <col min="9" max="16384" width="9.140625" style="10"/>
  </cols>
  <sheetData>
    <row r="1" spans="1:8" s="12" customFormat="1" ht="18.75" customHeight="1" x14ac:dyDescent="0.3">
      <c r="A1" s="12" t="s">
        <v>159</v>
      </c>
    </row>
    <row r="3" spans="1:8" x14ac:dyDescent="0.25">
      <c r="A3" s="5"/>
      <c r="B3" s="5"/>
      <c r="C3" s="5"/>
      <c r="D3" s="5"/>
      <c r="E3" s="5"/>
      <c r="F3" s="5"/>
      <c r="G3" s="5"/>
      <c r="H3" s="5"/>
    </row>
    <row r="5" spans="1:8" ht="28.5" customHeight="1" x14ac:dyDescent="0.25">
      <c r="A5" s="48" t="s">
        <v>45</v>
      </c>
      <c r="B5" s="48" t="s">
        <v>160</v>
      </c>
      <c r="C5" s="48" t="s">
        <v>161</v>
      </c>
      <c r="D5" s="48" t="s">
        <v>162</v>
      </c>
      <c r="E5" s="48" t="s">
        <v>163</v>
      </c>
      <c r="F5" s="48" t="s">
        <v>164</v>
      </c>
      <c r="G5" s="48" t="s">
        <v>165</v>
      </c>
      <c r="H5" s="48" t="s">
        <v>166</v>
      </c>
    </row>
    <row r="6" spans="1:8" x14ac:dyDescent="0.25">
      <c r="A6" s="49" t="s">
        <v>167</v>
      </c>
      <c r="B6" s="50">
        <v>51944902</v>
      </c>
      <c r="C6" s="50">
        <v>60952282</v>
      </c>
      <c r="D6" s="50">
        <v>65290432</v>
      </c>
      <c r="E6" s="51" t="s">
        <v>168</v>
      </c>
      <c r="F6" s="52">
        <f t="shared" ref="F6:H13" si="0">B6/1000</f>
        <v>51944.902000000002</v>
      </c>
      <c r="G6" s="52">
        <f t="shared" si="0"/>
        <v>60952.281999999999</v>
      </c>
      <c r="H6" s="52">
        <f t="shared" si="0"/>
        <v>65290.432000000001</v>
      </c>
    </row>
    <row r="7" spans="1:8" x14ac:dyDescent="0.25">
      <c r="A7" s="49" t="s">
        <v>169</v>
      </c>
      <c r="B7" s="50">
        <v>36987380</v>
      </c>
      <c r="C7" s="53"/>
      <c r="D7" s="53"/>
      <c r="E7" s="51" t="s">
        <v>168</v>
      </c>
      <c r="F7" s="52">
        <f t="shared" si="0"/>
        <v>36987.379999999997</v>
      </c>
      <c r="G7" s="52">
        <f t="shared" si="0"/>
        <v>0</v>
      </c>
      <c r="H7" s="52">
        <f t="shared" si="0"/>
        <v>0</v>
      </c>
    </row>
    <row r="8" spans="1:8" ht="45" customHeight="1" x14ac:dyDescent="0.25">
      <c r="A8" s="49" t="s">
        <v>170</v>
      </c>
      <c r="B8" s="53"/>
      <c r="C8" s="50">
        <v>49658659</v>
      </c>
      <c r="D8" s="50">
        <v>53239270</v>
      </c>
      <c r="E8" s="51" t="s">
        <v>168</v>
      </c>
      <c r="F8" s="52">
        <f t="shared" si="0"/>
        <v>0</v>
      </c>
      <c r="G8" s="52">
        <f t="shared" si="0"/>
        <v>49658.659</v>
      </c>
      <c r="H8" s="52">
        <f t="shared" si="0"/>
        <v>53239.27</v>
      </c>
    </row>
    <row r="9" spans="1:8" ht="30" customHeight="1" x14ac:dyDescent="0.25">
      <c r="A9" s="49" t="s">
        <v>171</v>
      </c>
      <c r="B9" s="50">
        <v>5548542</v>
      </c>
      <c r="C9" s="50">
        <v>9619432</v>
      </c>
      <c r="D9" s="50">
        <v>3346894</v>
      </c>
      <c r="E9" s="51" t="s">
        <v>168</v>
      </c>
      <c r="F9" s="52">
        <f t="shared" si="0"/>
        <v>5548.5420000000004</v>
      </c>
      <c r="G9" s="52">
        <f t="shared" si="0"/>
        <v>9619.4320000000007</v>
      </c>
      <c r="H9" s="52">
        <f t="shared" si="0"/>
        <v>3346.8939999999998</v>
      </c>
    </row>
    <row r="10" spans="1:8" ht="30" customHeight="1" x14ac:dyDescent="0.25">
      <c r="A10" s="49" t="s">
        <v>172</v>
      </c>
      <c r="B10" s="50">
        <v>25935113</v>
      </c>
      <c r="C10" s="50">
        <v>36452582</v>
      </c>
      <c r="D10" s="50">
        <v>39151511</v>
      </c>
      <c r="E10" s="51" t="s">
        <v>168</v>
      </c>
      <c r="F10" s="52">
        <f t="shared" si="0"/>
        <v>25935.113000000001</v>
      </c>
      <c r="G10" s="52">
        <f t="shared" si="0"/>
        <v>36452.582000000002</v>
      </c>
      <c r="H10" s="52">
        <f t="shared" si="0"/>
        <v>39151.510999999999</v>
      </c>
    </row>
    <row r="11" spans="1:8" x14ac:dyDescent="0.25">
      <c r="A11" s="49" t="s">
        <v>96</v>
      </c>
      <c r="B11" s="50">
        <v>51063461</v>
      </c>
      <c r="C11" s="50">
        <v>67687209</v>
      </c>
      <c r="D11" s="50">
        <v>82851974</v>
      </c>
      <c r="E11" s="51" t="s">
        <v>168</v>
      </c>
      <c r="F11" s="52">
        <f t="shared" si="0"/>
        <v>51063.461000000003</v>
      </c>
      <c r="G11" s="52">
        <f t="shared" si="0"/>
        <v>67687.209000000003</v>
      </c>
      <c r="H11" s="52">
        <f t="shared" si="0"/>
        <v>82851.974000000002</v>
      </c>
    </row>
    <row r="12" spans="1:8" x14ac:dyDescent="0.25">
      <c r="A12" s="49" t="s">
        <v>86</v>
      </c>
      <c r="B12" s="50">
        <v>118053932</v>
      </c>
      <c r="C12" s="50">
        <v>159038638</v>
      </c>
      <c r="D12" s="50">
        <v>175888636</v>
      </c>
      <c r="E12" s="51" t="s">
        <v>168</v>
      </c>
      <c r="F12" s="52">
        <f t="shared" si="0"/>
        <v>118053.932</v>
      </c>
      <c r="G12" s="52">
        <f t="shared" si="0"/>
        <v>159038.63800000001</v>
      </c>
      <c r="H12" s="52">
        <f t="shared" si="0"/>
        <v>175888.636</v>
      </c>
    </row>
    <row r="13" spans="1:8" ht="30" customHeight="1" x14ac:dyDescent="0.25">
      <c r="A13" s="49" t="s">
        <v>173</v>
      </c>
      <c r="B13" s="50">
        <v>66990471</v>
      </c>
      <c r="C13" s="50">
        <v>91351429</v>
      </c>
      <c r="D13" s="50">
        <v>93036662</v>
      </c>
      <c r="E13" s="51" t="s">
        <v>168</v>
      </c>
      <c r="F13" s="52">
        <f t="shared" si="0"/>
        <v>66990.471000000005</v>
      </c>
      <c r="G13" s="52">
        <f t="shared" si="0"/>
        <v>91351.429000000004</v>
      </c>
      <c r="H13" s="52">
        <f t="shared" si="0"/>
        <v>93036.661999999997</v>
      </c>
    </row>
    <row r="14" spans="1:8" x14ac:dyDescent="0.25">
      <c r="A14" s="49" t="s">
        <v>174</v>
      </c>
      <c r="B14" s="53"/>
      <c r="C14" s="53">
        <v>128.41999999999999</v>
      </c>
      <c r="D14" s="53">
        <v>137.93</v>
      </c>
      <c r="E14" s="51"/>
      <c r="F14" s="54"/>
      <c r="G14" s="54"/>
      <c r="H14" s="54"/>
    </row>
    <row r="15" spans="1:8" x14ac:dyDescent="0.25">
      <c r="A15" s="21" t="s">
        <v>46</v>
      </c>
      <c r="B15" s="21" t="s">
        <v>47</v>
      </c>
      <c r="C15" s="21" t="s">
        <v>48</v>
      </c>
      <c r="D15" s="55" t="s">
        <v>175</v>
      </c>
      <c r="E15" s="55"/>
    </row>
    <row r="16" spans="1:8" ht="15.75" customHeight="1" x14ac:dyDescent="0.25">
      <c r="A16" s="26">
        <v>405.81</v>
      </c>
      <c r="B16" s="26">
        <v>401.77</v>
      </c>
      <c r="C16" s="26">
        <v>489.94</v>
      </c>
      <c r="D16" s="56">
        <v>283.85500000000002</v>
      </c>
    </row>
    <row r="17" spans="1:8" ht="15.75" customHeight="1" x14ac:dyDescent="0.25">
      <c r="A17" s="4" t="s">
        <v>176</v>
      </c>
      <c r="B17" s="4"/>
      <c r="C17" s="4"/>
      <c r="D17" s="4"/>
      <c r="E17" s="4"/>
      <c r="F17" s="4"/>
      <c r="G17" s="4"/>
      <c r="H17" s="4"/>
    </row>
    <row r="18" spans="1:8" x14ac:dyDescent="0.25">
      <c r="A18" s="48" t="s">
        <v>177</v>
      </c>
      <c r="B18" s="48" t="s">
        <v>178</v>
      </c>
      <c r="C18" s="48" t="s">
        <v>179</v>
      </c>
      <c r="D18" s="48"/>
      <c r="F18" s="57"/>
      <c r="G18" s="58"/>
      <c r="H18" s="59"/>
    </row>
    <row r="19" spans="1:8" ht="15.75" customHeight="1" x14ac:dyDescent="0.25">
      <c r="A19" s="49" t="s">
        <v>180</v>
      </c>
      <c r="B19" s="49"/>
      <c r="C19" s="60">
        <f>H6</f>
        <v>65290.432000000001</v>
      </c>
      <c r="D19" s="54"/>
      <c r="F19" s="61"/>
      <c r="G19" s="62"/>
      <c r="H19" s="63"/>
    </row>
    <row r="20" spans="1:8" ht="60" customHeight="1" x14ac:dyDescent="0.25">
      <c r="A20" s="49" t="s">
        <v>123</v>
      </c>
      <c r="B20" s="49" t="s">
        <v>181</v>
      </c>
      <c r="C20" s="64">
        <f>(H8+H9)/H6</f>
        <v>0.86668386571557676</v>
      </c>
      <c r="D20" s="54"/>
    </row>
    <row r="21" spans="1:8" ht="30" customHeight="1" x14ac:dyDescent="0.25">
      <c r="A21" s="49" t="s">
        <v>132</v>
      </c>
      <c r="B21" s="49" t="s">
        <v>182</v>
      </c>
      <c r="C21" s="64">
        <f>H10/H11</f>
        <v>0.47254771503694043</v>
      </c>
      <c r="D21" s="54"/>
    </row>
    <row r="22" spans="1:8" ht="30" customHeight="1" x14ac:dyDescent="0.25">
      <c r="A22" s="49" t="s">
        <v>183</v>
      </c>
      <c r="B22" s="49" t="s">
        <v>184</v>
      </c>
      <c r="C22" s="65">
        <f>H13/H11</f>
        <v>1.1229263167586085</v>
      </c>
      <c r="D22" s="54"/>
    </row>
    <row r="23" spans="1:8" x14ac:dyDescent="0.25">
      <c r="A23" s="22" t="s">
        <v>147</v>
      </c>
      <c r="B23" s="46" t="s">
        <v>148</v>
      </c>
      <c r="C23" s="18">
        <f>H10/C16</f>
        <v>79.910827856472224</v>
      </c>
    </row>
    <row r="24" spans="1:8" x14ac:dyDescent="0.25">
      <c r="A24" s="10" t="s">
        <v>153</v>
      </c>
      <c r="B24" s="27" t="s">
        <v>154</v>
      </c>
      <c r="C24" s="18">
        <f>C16/C23</f>
        <v>6.1310840238068973</v>
      </c>
    </row>
  </sheetData>
  <mergeCells count="2">
    <mergeCell ref="A3:H3"/>
    <mergeCell ref="A17:H17"/>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
  <sheetViews>
    <sheetView showGridLines="0" zoomScaleNormal="100" workbookViewId="0">
      <selection activeCell="C15" sqref="C15"/>
    </sheetView>
  </sheetViews>
  <sheetFormatPr defaultColWidth="9.140625" defaultRowHeight="15" x14ac:dyDescent="0.25"/>
  <cols>
    <col min="1" max="1" width="26" style="10" customWidth="1"/>
    <col min="2" max="4" width="16" style="10" customWidth="1"/>
    <col min="5" max="5" width="32" style="10" customWidth="1"/>
    <col min="6" max="16384" width="9.140625" style="10"/>
  </cols>
  <sheetData>
    <row r="1" spans="1:8" ht="25.5" customHeight="1" x14ac:dyDescent="0.25">
      <c r="A1" s="9" t="s">
        <v>185</v>
      </c>
      <c r="B1" s="9"/>
      <c r="C1" s="9"/>
      <c r="D1" s="9"/>
      <c r="E1" s="9"/>
      <c r="F1" s="9"/>
      <c r="G1" s="9"/>
      <c r="H1" s="9"/>
    </row>
    <row r="3" spans="1:8" ht="19.5" customHeight="1" x14ac:dyDescent="0.25">
      <c r="A3" s="8" t="s">
        <v>186</v>
      </c>
      <c r="B3" s="8"/>
      <c r="C3" s="8"/>
      <c r="D3" s="8"/>
      <c r="E3" s="8"/>
      <c r="F3" s="8"/>
      <c r="G3" s="8"/>
      <c r="H3" s="8"/>
    </row>
    <row r="4" spans="1:8" x14ac:dyDescent="0.25">
      <c r="A4" s="22" t="s">
        <v>187</v>
      </c>
      <c r="B4" s="66" t="str">
        <f>INPUTS!B5</f>
        <v>OGDCL</v>
      </c>
    </row>
    <row r="5" spans="1:8" x14ac:dyDescent="0.25">
      <c r="A5" s="22" t="s">
        <v>188</v>
      </c>
      <c r="B5" s="23" t="s">
        <v>51</v>
      </c>
    </row>
    <row r="6" spans="1:8" x14ac:dyDescent="0.25">
      <c r="A6" s="22" t="s">
        <v>189</v>
      </c>
      <c r="B6" s="23"/>
    </row>
    <row r="8" spans="1:8" ht="19.5" customHeight="1" x14ac:dyDescent="0.25">
      <c r="A8" s="8" t="s">
        <v>190</v>
      </c>
      <c r="B8" s="8"/>
      <c r="C8" s="8"/>
      <c r="D8" s="8"/>
      <c r="E8" s="8"/>
      <c r="F8" s="8"/>
      <c r="G8" s="8"/>
      <c r="H8" s="8"/>
    </row>
    <row r="9" spans="1:8" ht="18" customHeight="1" x14ac:dyDescent="0.25">
      <c r="A9" s="28" t="s">
        <v>177</v>
      </c>
      <c r="B9" s="28" t="s">
        <v>191</v>
      </c>
      <c r="C9" s="28" t="s">
        <v>188</v>
      </c>
      <c r="D9" s="28" t="s">
        <v>189</v>
      </c>
      <c r="E9" s="28"/>
    </row>
    <row r="10" spans="1:8" x14ac:dyDescent="0.25">
      <c r="A10" s="22" t="s">
        <v>180</v>
      </c>
      <c r="B10" s="67">
        <f>INCOME_S!D4</f>
        <v>463697.86099999998</v>
      </c>
      <c r="C10" s="32">
        <v>65290.432000000001</v>
      </c>
      <c r="D10" s="32"/>
      <c r="E10" s="22"/>
    </row>
    <row r="11" spans="1:8" x14ac:dyDescent="0.25">
      <c r="A11" s="22" t="s">
        <v>123</v>
      </c>
      <c r="B11" s="68">
        <f>RATIOS!D5</f>
        <v>0.64897910754002797</v>
      </c>
      <c r="C11" s="69">
        <f>(POL_PEER!H8+POL_PEER!H9)/POL_PEER!H6</f>
        <v>0.86668386571557676</v>
      </c>
      <c r="D11" s="32"/>
      <c r="E11" s="22"/>
    </row>
    <row r="12" spans="1:8" x14ac:dyDescent="0.25">
      <c r="A12" s="22" t="s">
        <v>132</v>
      </c>
      <c r="B12" s="68">
        <f>RATIOS!D8</f>
        <v>0.16711427671027146</v>
      </c>
      <c r="C12" s="69">
        <f>POL_PEER!C21</f>
        <v>0.47254771503694043</v>
      </c>
      <c r="D12" s="32"/>
      <c r="E12" s="22"/>
    </row>
    <row r="13" spans="1:8" x14ac:dyDescent="0.25">
      <c r="A13" s="22" t="s">
        <v>183</v>
      </c>
      <c r="B13" s="70">
        <f>RATIOS!D10</f>
        <v>0.28289403590983114</v>
      </c>
      <c r="C13" s="71">
        <f>POL_PEER!C22</f>
        <v>1.1229263167586085</v>
      </c>
      <c r="D13" s="32"/>
      <c r="E13" s="22"/>
    </row>
    <row r="14" spans="1:8" x14ac:dyDescent="0.25">
      <c r="A14" s="22" t="s">
        <v>192</v>
      </c>
      <c r="B14" s="71">
        <f>RATIOS!D15</f>
        <v>2.7815208934436719</v>
      </c>
      <c r="C14" s="71">
        <f>POL_PEER!C24</f>
        <v>6.1310840238068973</v>
      </c>
      <c r="D14" s="32"/>
      <c r="E14" s="22"/>
    </row>
  </sheetData>
  <mergeCells count="3">
    <mergeCell ref="A1:H1"/>
    <mergeCell ref="A3:H3"/>
    <mergeCell ref="A8:H8"/>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0"/>
  <sheetViews>
    <sheetView showGridLines="0" zoomScale="81" zoomScaleNormal="81" workbookViewId="0">
      <selection activeCell="B14" sqref="B14"/>
    </sheetView>
  </sheetViews>
  <sheetFormatPr defaultColWidth="9.140625" defaultRowHeight="15" x14ac:dyDescent="0.25"/>
  <cols>
    <col min="1" max="1" width="12.140625" style="10" customWidth="1"/>
    <col min="2" max="2" width="13.5703125" style="10" customWidth="1"/>
    <col min="3" max="3" width="20.42578125" style="10" customWidth="1"/>
    <col min="4" max="4" width="12.42578125" style="10" customWidth="1"/>
    <col min="5" max="5" width="35.140625" style="10" customWidth="1"/>
    <col min="6" max="16384" width="9.140625" style="10"/>
  </cols>
  <sheetData>
    <row r="1" spans="1:8" ht="20.25" customHeight="1" x14ac:dyDescent="0.25">
      <c r="A1" s="9" t="s">
        <v>193</v>
      </c>
      <c r="B1" s="9"/>
      <c r="C1" s="9"/>
      <c r="D1" s="9"/>
      <c r="E1" s="9"/>
      <c r="F1" s="9"/>
      <c r="G1" s="9"/>
      <c r="H1" s="9"/>
    </row>
    <row r="3" spans="1:8" ht="15" customHeight="1" x14ac:dyDescent="0.25">
      <c r="A3" s="8" t="s">
        <v>194</v>
      </c>
      <c r="B3" s="8"/>
      <c r="C3" s="8"/>
      <c r="D3" s="8"/>
      <c r="E3" s="8"/>
      <c r="F3" s="8"/>
      <c r="G3" s="8"/>
      <c r="H3" s="8"/>
    </row>
    <row r="4" spans="1:8" x14ac:dyDescent="0.25">
      <c r="A4" s="28" t="s">
        <v>195</v>
      </c>
      <c r="B4" s="28" t="s">
        <v>196</v>
      </c>
      <c r="C4" s="28" t="s">
        <v>197</v>
      </c>
      <c r="D4" s="28" t="s">
        <v>198</v>
      </c>
      <c r="E4" s="28" t="s">
        <v>57</v>
      </c>
    </row>
    <row r="5" spans="1:8" ht="75" customHeight="1" x14ac:dyDescent="0.25">
      <c r="A5" s="22" t="s">
        <v>199</v>
      </c>
      <c r="B5" s="72">
        <v>0.05</v>
      </c>
      <c r="C5" s="72">
        <v>0.05</v>
      </c>
      <c r="D5" s="72">
        <v>0.05</v>
      </c>
      <c r="E5" s="22" t="s">
        <v>200</v>
      </c>
    </row>
    <row r="6" spans="1:8" ht="30" customHeight="1" x14ac:dyDescent="0.25">
      <c r="A6" s="22" t="s">
        <v>123</v>
      </c>
      <c r="B6" s="73">
        <f>RATIOS!D5</f>
        <v>0.64897910754002797</v>
      </c>
      <c r="C6" s="73">
        <f>B6-1%</f>
        <v>0.63897910754002796</v>
      </c>
      <c r="D6" s="73">
        <f>C6-1%</f>
        <v>0.62897910754002795</v>
      </c>
      <c r="E6" s="22" t="s">
        <v>201</v>
      </c>
    </row>
    <row r="7" spans="1:8" ht="30" customHeight="1" x14ac:dyDescent="0.25">
      <c r="A7" s="22" t="s">
        <v>18</v>
      </c>
      <c r="B7" s="73">
        <f>INPUTS!B11</f>
        <v>0.37656408636769001</v>
      </c>
      <c r="C7" s="73">
        <f>INPUTS!B11</f>
        <v>0.37656408636769001</v>
      </c>
      <c r="D7" s="73">
        <f>INPUTS!B11</f>
        <v>0.37656408636769001</v>
      </c>
      <c r="E7" s="22"/>
    </row>
    <row r="8" spans="1:8" ht="30" customHeight="1" x14ac:dyDescent="0.25">
      <c r="A8" s="22" t="s">
        <v>202</v>
      </c>
      <c r="B8" s="73">
        <f>CF_S!D13</f>
        <v>9.7124450612895971E-2</v>
      </c>
      <c r="C8" s="73">
        <f>CF_S!D13</f>
        <v>9.7124450612895971E-2</v>
      </c>
      <c r="D8" s="73">
        <f>CF_S!D13</f>
        <v>9.7124450612895971E-2</v>
      </c>
      <c r="E8" s="22" t="s">
        <v>203</v>
      </c>
      <c r="F8" s="34"/>
      <c r="G8" s="34"/>
    </row>
    <row r="9" spans="1:8" ht="90" customHeight="1" x14ac:dyDescent="0.25">
      <c r="A9" s="22" t="s">
        <v>204</v>
      </c>
      <c r="B9" s="73">
        <v>0.01</v>
      </c>
      <c r="C9" s="73">
        <v>0.01</v>
      </c>
      <c r="D9" s="73">
        <v>0.01</v>
      </c>
      <c r="E9" s="22" t="s">
        <v>205</v>
      </c>
    </row>
    <row r="12" spans="1:8" ht="15" customHeight="1" x14ac:dyDescent="0.25">
      <c r="A12" s="8" t="s">
        <v>206</v>
      </c>
      <c r="B12" s="8"/>
      <c r="C12" s="8"/>
      <c r="D12" s="8"/>
      <c r="E12" s="8"/>
      <c r="F12" s="8"/>
      <c r="G12" s="8"/>
      <c r="H12" s="8"/>
    </row>
    <row r="13" spans="1:8" x14ac:dyDescent="0.25">
      <c r="A13" s="28" t="s">
        <v>64</v>
      </c>
      <c r="B13" s="28" t="s">
        <v>196</v>
      </c>
      <c r="C13" s="28" t="s">
        <v>197</v>
      </c>
      <c r="D13" s="28" t="s">
        <v>198</v>
      </c>
    </row>
    <row r="14" spans="1:8" x14ac:dyDescent="0.25">
      <c r="A14" s="22" t="s">
        <v>70</v>
      </c>
      <c r="B14" s="36">
        <f>INCOME_S!D4*(1+B5)</f>
        <v>486882.75404999999</v>
      </c>
      <c r="C14" s="36">
        <f>B14*(1+$C$5)</f>
        <v>511226.89175250003</v>
      </c>
      <c r="D14" s="36">
        <f>C14*(1+$D$5)</f>
        <v>536788.23634012509</v>
      </c>
    </row>
    <row r="15" spans="1:8" x14ac:dyDescent="0.25">
      <c r="A15" s="22" t="s">
        <v>74</v>
      </c>
      <c r="B15" s="36">
        <f>B6*B14</f>
        <v>315976.73519999994</v>
      </c>
      <c r="C15" s="36">
        <f>C14*C6</f>
        <v>326663.30304247496</v>
      </c>
      <c r="D15" s="36">
        <f>D6*D14</f>
        <v>337628.5858311975</v>
      </c>
    </row>
    <row r="16" spans="1:8" ht="30" x14ac:dyDescent="0.25">
      <c r="A16" s="22" t="s">
        <v>207</v>
      </c>
      <c r="B16" s="36">
        <f>-B15*INPUTS!B11</f>
        <v>-118985.49060403349</v>
      </c>
      <c r="C16" s="36">
        <f>-C15*INPUTS!B11</f>
        <v>-123009.66826004144</v>
      </c>
      <c r="D16" s="36">
        <f>-D15*INPUTS!B11</f>
        <v>-127138.7999551401</v>
      </c>
    </row>
    <row r="17" spans="1:4" x14ac:dyDescent="0.25">
      <c r="A17" s="22" t="s">
        <v>208</v>
      </c>
      <c r="B17" s="36">
        <f>B15+B16</f>
        <v>196991.24459596645</v>
      </c>
      <c r="C17" s="36">
        <f>C15+C16</f>
        <v>203653.63478243351</v>
      </c>
      <c r="D17" s="36">
        <f>D15+D16</f>
        <v>210489.7858760574</v>
      </c>
    </row>
    <row r="18" spans="1:4" x14ac:dyDescent="0.25">
      <c r="A18" s="22" t="s">
        <v>209</v>
      </c>
      <c r="B18" s="36">
        <f>-B14*$B$8</f>
        <v>-47288.22</v>
      </c>
      <c r="C18" s="36">
        <f>-C14*$C$8</f>
        <v>-49652.631000000001</v>
      </c>
      <c r="D18" s="36">
        <f>-D14*$D$8</f>
        <v>-52135.262550000007</v>
      </c>
    </row>
    <row r="19" spans="1:4" ht="30" customHeight="1" x14ac:dyDescent="0.25">
      <c r="A19" s="22" t="s">
        <v>210</v>
      </c>
      <c r="B19" s="36">
        <f>-B14*$B$9</f>
        <v>-4868.8275405000004</v>
      </c>
      <c r="C19" s="36">
        <f>-C14*$C$9</f>
        <v>-5112.2689175250007</v>
      </c>
      <c r="D19" s="36">
        <f>-D14*$D$9</f>
        <v>-5367.8823634012506</v>
      </c>
    </row>
    <row r="20" spans="1:4" x14ac:dyDescent="0.25">
      <c r="A20" s="22" t="s">
        <v>211</v>
      </c>
      <c r="B20" s="36">
        <f>(B17+B18+B19)</f>
        <v>144834.19705546644</v>
      </c>
      <c r="C20" s="36">
        <f>(C17+C18+C19)</f>
        <v>148888.7348649085</v>
      </c>
      <c r="D20" s="36">
        <f>(D17+D18+D19)</f>
        <v>152986.64096265615</v>
      </c>
    </row>
  </sheetData>
  <mergeCells count="3">
    <mergeCell ref="A1:H1"/>
    <mergeCell ref="A3:H3"/>
    <mergeCell ref="A12:H12"/>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34"/>
  <sheetViews>
    <sheetView showGridLines="0" topLeftCell="A21" zoomScaleNormal="100" workbookViewId="0">
      <selection activeCell="D7" sqref="D7"/>
    </sheetView>
  </sheetViews>
  <sheetFormatPr defaultColWidth="9.140625" defaultRowHeight="15" x14ac:dyDescent="0.25"/>
  <cols>
    <col min="1" max="1" width="14" style="10" customWidth="1"/>
    <col min="2" max="2" width="12" style="10" customWidth="1"/>
    <col min="3" max="3" width="17.7109375" style="10" customWidth="1"/>
    <col min="4" max="6" width="12" style="10" customWidth="1"/>
    <col min="7" max="16384" width="9.140625" style="10"/>
  </cols>
  <sheetData>
    <row r="1" spans="1:10" ht="25.5" customHeight="1" x14ac:dyDescent="0.25">
      <c r="A1" s="9" t="s">
        <v>212</v>
      </c>
      <c r="B1" s="9"/>
      <c r="C1" s="9"/>
      <c r="D1" s="9"/>
      <c r="E1" s="9"/>
      <c r="F1" s="9"/>
      <c r="G1" s="9"/>
      <c r="H1" s="9"/>
    </row>
    <row r="2" spans="1:10" x14ac:dyDescent="0.25">
      <c r="A2" s="10" t="s">
        <v>213</v>
      </c>
    </row>
    <row r="3" spans="1:10" ht="19.5" customHeight="1" x14ac:dyDescent="0.25">
      <c r="A3" s="8" t="s">
        <v>214</v>
      </c>
      <c r="B3" s="8"/>
      <c r="C3" s="8"/>
      <c r="D3" s="8"/>
      <c r="E3" s="8"/>
      <c r="F3" s="8"/>
      <c r="G3" s="8"/>
      <c r="H3" s="8"/>
    </row>
    <row r="4" spans="1:10" x14ac:dyDescent="0.25">
      <c r="A4" s="22" t="s">
        <v>21</v>
      </c>
      <c r="B4" s="68">
        <f>INPUTS!B12</f>
        <v>0.26475799999999999</v>
      </c>
      <c r="C4" s="10" t="s">
        <v>215</v>
      </c>
    </row>
    <row r="5" spans="1:10" ht="30" customHeight="1" x14ac:dyDescent="0.25">
      <c r="A5" s="22" t="s">
        <v>23</v>
      </c>
      <c r="B5" s="68">
        <f>INPUTS!B13</f>
        <v>0.04</v>
      </c>
      <c r="C5" s="74" t="s">
        <v>216</v>
      </c>
    </row>
    <row r="6" spans="1:10" ht="30" customHeight="1" x14ac:dyDescent="0.25">
      <c r="A6" s="22" t="s">
        <v>217</v>
      </c>
      <c r="B6" s="67">
        <f>INPUTS!B15</f>
        <v>-259000.52799999999</v>
      </c>
      <c r="C6" s="74" t="s">
        <v>218</v>
      </c>
    </row>
    <row r="7" spans="1:10" ht="45" customHeight="1" x14ac:dyDescent="0.25">
      <c r="A7" s="22" t="s">
        <v>13</v>
      </c>
      <c r="B7" s="67">
        <f>INPUTS!B14</f>
        <v>4300.9283999999998</v>
      </c>
    </row>
    <row r="9" spans="1:10" ht="19.5" customHeight="1" x14ac:dyDescent="0.25">
      <c r="A9" s="8" t="s">
        <v>219</v>
      </c>
      <c r="B9" s="8"/>
      <c r="C9" s="8"/>
      <c r="D9" s="8"/>
      <c r="E9" s="8"/>
      <c r="F9" s="8"/>
      <c r="G9" s="8"/>
      <c r="H9" s="8"/>
    </row>
    <row r="10" spans="1:10" ht="18" customHeight="1" x14ac:dyDescent="0.25">
      <c r="A10" s="28" t="s">
        <v>2</v>
      </c>
      <c r="B10" s="28" t="s">
        <v>211</v>
      </c>
      <c r="C10" s="28" t="s">
        <v>220</v>
      </c>
      <c r="D10" s="28" t="s">
        <v>221</v>
      </c>
      <c r="E10" s="75" t="s">
        <v>222</v>
      </c>
    </row>
    <row r="11" spans="1:10" x14ac:dyDescent="0.25">
      <c r="A11" s="22" t="s">
        <v>196</v>
      </c>
      <c r="B11" s="67">
        <f>FORECAST!B20</f>
        <v>144834.19705546644</v>
      </c>
      <c r="C11" s="76">
        <f>1/(1+$B$4)^1</f>
        <v>0.7906650916618041</v>
      </c>
      <c r="D11" s="77">
        <f>(B11*C11)</f>
        <v>114515.34369062417</v>
      </c>
    </row>
    <row r="12" spans="1:10" x14ac:dyDescent="0.25">
      <c r="A12" s="22" t="s">
        <v>197</v>
      </c>
      <c r="B12" s="67">
        <f>FORECAST!C20</f>
        <v>148888.7348649085</v>
      </c>
      <c r="C12" s="76">
        <f>1/(1+$B$4)^2</f>
        <v>0.62515128717256896</v>
      </c>
      <c r="D12" s="77">
        <f>(B12*C12)</f>
        <v>93077.984246292894</v>
      </c>
    </row>
    <row r="13" spans="1:10" x14ac:dyDescent="0.25">
      <c r="A13" s="22" t="s">
        <v>198</v>
      </c>
      <c r="B13" s="67">
        <f>FORECAST!D20</f>
        <v>152986.64096265615</v>
      </c>
      <c r="C13" s="76">
        <f>1/(1+$B$4)^3</f>
        <v>0.49428529977479402</v>
      </c>
      <c r="D13" s="77">
        <f>(B13*C13)</f>
        <v>75619.047689765284</v>
      </c>
    </row>
    <row r="14" spans="1:10" ht="42.75" customHeight="1" x14ac:dyDescent="0.25">
      <c r="A14" s="31" t="s">
        <v>223</v>
      </c>
      <c r="B14" s="36">
        <f>B13*(1+B5)/(B4-B5)</f>
        <v>707899.63694801705</v>
      </c>
      <c r="C14" s="76">
        <f>C13</f>
        <v>0.49428529977479402</v>
      </c>
      <c r="D14" s="36">
        <f>B14*C14</f>
        <v>349904.38425931847</v>
      </c>
      <c r="J14" s="74"/>
    </row>
    <row r="16" spans="1:10" ht="19.5" customHeight="1" x14ac:dyDescent="0.25">
      <c r="A16" s="8" t="s">
        <v>224</v>
      </c>
      <c r="B16" s="8"/>
      <c r="C16" s="8"/>
      <c r="D16" s="8"/>
      <c r="E16" s="8"/>
      <c r="F16" s="8"/>
      <c r="G16" s="8"/>
      <c r="H16" s="8"/>
      <c r="J16" s="74"/>
    </row>
    <row r="17" spans="1:10" ht="57" customHeight="1" x14ac:dyDescent="0.25">
      <c r="A17" s="31" t="s">
        <v>225</v>
      </c>
      <c r="B17" s="36">
        <f>SUM(D11:D13)+(D14)</f>
        <v>633116.75988600077</v>
      </c>
      <c r="D17" s="45"/>
      <c r="J17" s="74"/>
    </row>
    <row r="18" spans="1:10" x14ac:dyDescent="0.25">
      <c r="A18" s="31" t="s">
        <v>226</v>
      </c>
      <c r="B18" s="36">
        <f>B17-B6</f>
        <v>892117.2878860007</v>
      </c>
      <c r="J18" s="74"/>
    </row>
    <row r="19" spans="1:10" ht="28.5" customHeight="1" x14ac:dyDescent="0.25">
      <c r="A19" s="31" t="s">
        <v>227</v>
      </c>
      <c r="B19" s="36">
        <f>B18/B7</f>
        <v>207.42435235285495</v>
      </c>
      <c r="C19" s="75" t="s">
        <v>228</v>
      </c>
    </row>
    <row r="21" spans="1:10" ht="19.5" customHeight="1" x14ac:dyDescent="0.25">
      <c r="A21" s="8" t="s">
        <v>229</v>
      </c>
      <c r="B21" s="8"/>
      <c r="C21" s="8"/>
      <c r="D21" s="8"/>
      <c r="E21" s="8"/>
      <c r="F21" s="8"/>
      <c r="G21" s="8"/>
      <c r="H21" s="8"/>
    </row>
    <row r="22" spans="1:10" x14ac:dyDescent="0.25">
      <c r="A22" s="28" t="s">
        <v>230</v>
      </c>
      <c r="B22" s="78">
        <v>0.14000000000000001</v>
      </c>
      <c r="C22" s="78">
        <v>0.16</v>
      </c>
      <c r="D22" s="78">
        <v>0.18</v>
      </c>
      <c r="E22" s="78">
        <v>0.2</v>
      </c>
      <c r="F22" s="78">
        <v>0.22</v>
      </c>
    </row>
    <row r="23" spans="1:10" x14ac:dyDescent="0.25">
      <c r="A23" s="78">
        <v>0.02</v>
      </c>
      <c r="B23" s="46">
        <f>IF(0.14-0.02&lt;=0,"-",((FORECAST!B20/(1+0.14)^1 + FORECAST!C20/(1+0.14)^2 + FORECAST!D20/(1+0.14)^3 + (FORECAST!D20*(1+0.02)/(0.14-0.02))/(1+0.14)^3) - $B$6)/$B$7)</f>
        <v>344.48342681032813</v>
      </c>
      <c r="C23" s="46">
        <f>IF(0.16-0.02&lt;=0,"-",((FORECAST!B20/(1+0.16)^1 + FORECAST!C20/(1+0.16)^2 + FORECAST!D20/(1+0.16)^3 + (FORECAST!D20*(1+0.02)/(0.16-0.02))/(1+0.16)^3) - $B$6)/$B$7)</f>
        <v>303.79630354653591</v>
      </c>
      <c r="D23" s="46">
        <f>IF(0.18-0.02&lt;=0,"-",((FORECAST!B20/(1+0.18)^1 + FORECAST!C20/(1+0.18)^2 + FORECAST!D20/(1+0.18)^3 + (FORECAST!D20*(1+0.02)/(0.18-0.02))/(1+0.18)^3) - $B$6)/$B$7)</f>
        <v>273.28398235826779</v>
      </c>
      <c r="E23" s="46">
        <f>IF(0.2-0.02&lt;=0,"-",((FORECAST!B20/(1+0.2)^1 + FORECAST!C20/(1+0.2)^2 + FORECAST!D20/(1+0.2)^3 + (FORECAST!D20*(1+0.02)/(0.2-0.02))/(1+0.2)^3) - $B$6)/$B$7)</f>
        <v>249.554697367675</v>
      </c>
      <c r="F23" s="46">
        <f>IF(0.22-0.02&lt;=0,"-",((FORECAST!B20/(1+0.22)^1 + FORECAST!C20/(1+0.22)^2 + FORECAST!D20/(1+0.22)^3 + (FORECAST!D20*(1+0.02)/(0.22-0.02))/(1+0.22)^3) - $B$6)/$B$7)</f>
        <v>230.57340059089498</v>
      </c>
    </row>
    <row r="24" spans="1:10" x14ac:dyDescent="0.25">
      <c r="A24" s="78">
        <v>0.03</v>
      </c>
      <c r="B24" s="46">
        <f>IF(0.14-0.03&lt;=0,"-",((FORECAST!B20/(1+0.14)^1 + FORECAST!C20/(1+0.14)^2 + FORECAST!D20/(1+0.14)^3 + (FORECAST!D20*(1+0.03)/(0.14-0.03))/(1+0.14)^3) - $B$6)/$B$7)</f>
        <v>365.21859978510781</v>
      </c>
      <c r="C24" s="46">
        <f>IF(0.16-0.03&lt;=0,"-",((FORECAST!B20/(1+0.16)^1 + FORECAST!C20/(1+0.16)^2 + FORECAST!D20/(1+0.16)^3 + (FORECAST!D20*(1+0.03)/(0.16-0.03))/(1+0.16)^3) - $B$6)/$B$7)</f>
        <v>318.3208951554065</v>
      </c>
      <c r="D24" s="46">
        <f>IF(0.18-0.03&lt;=0,"-",((FORECAST!B20/(1+0.18)^1 + FORECAST!C20/(1+0.18)^2 + FORECAST!D20/(1+0.18)^3 + (FORECAST!D20*(1+0.03)/(0.18-0.03))/(1+0.18)^3) - $B$6)/$B$7)</f>
        <v>283.92825622993763</v>
      </c>
      <c r="E24" s="46">
        <f>IF(0.2-0.03&lt;=0,"-",((FORECAST!B20/(1+0.2)^1 + FORECAST!C20/(1+0.2)^2 + FORECAST!D20/(1+0.2)^3 + (FORECAST!D20*(1+0.03)/(0.2-0.03))/(1+0.2)^3) - $B$6)/$B$7)</f>
        <v>257.62718480717018</v>
      </c>
      <c r="F24" s="46">
        <f>IF(0.22-0.03&lt;=0,"-",((FORECAST!B20/(1+0.22)^1 + FORECAST!C20/(1+0.22)^2 + FORECAST!D20/(1+0.22)^3 + (FORECAST!D20*(1+0.03)/(0.22-0.03))/(1+0.22)^3) - $B$6)/$B$7)</f>
        <v>236.86249390434202</v>
      </c>
      <c r="H24" s="79"/>
    </row>
    <row r="25" spans="1:10" x14ac:dyDescent="0.25">
      <c r="A25" s="78">
        <v>0.04</v>
      </c>
      <c r="B25" s="46">
        <f>IF(0.14-0.04&lt;=0,"-",((FORECAST!B20/(1+0.14)^1 + FORECAST!C20/(1+0.14)^2 + FORECAST!D20/(1+0.14)^3 + (FORECAST!D20*(1+0.04)/(0.14-0.04))/(1+0.14)^3) - $B$6)/$B$7)</f>
        <v>390.10080735484343</v>
      </c>
      <c r="C25" s="46">
        <f>IF(0.16-0.04&lt;=0,"-",((FORECAST!B20/(1+0.16)^1 + FORECAST!C20/(1+0.16)^2 + FORECAST!D20/(1+0.16)^3 + (FORECAST!D20*(1+0.04)/(0.16-0.04))/(1+0.16)^3) - $B$6)/$B$7)</f>
        <v>335.26625203242224</v>
      </c>
      <c r="D25" s="46">
        <f>IF(0.18-0.04&lt;=0,"-",((FORECAST!B20/(1+0.18)^1 + FORECAST!C20/(1+0.18)^2 + FORECAST!D20/(1+0.18)^3 + (FORECAST!D20*(1+0.04)/(0.18-0.04))/(1+0.18)^3) - $B$6)/$B$7)</f>
        <v>296.09314065470306</v>
      </c>
      <c r="E25" s="46">
        <f>IF(0.2-0.04&lt;=0,"-",((FORECAST!B20/(1+0.2)^1 + FORECAST!C20/(1+0.2)^2 + FORECAST!D20/(1+0.2)^3 + (FORECAST!D20*(1+0.04)/(0.2-0.04))/(1+0.2)^3) - $B$6)/$B$7)</f>
        <v>266.70873317660215</v>
      </c>
      <c r="F25" s="46">
        <f>IF(0.22-0.04&lt;=0,"-",((FORECAST!B20/(1+0.22)^1 + FORECAST!C20/(1+0.22)^2 + FORECAST!D20/(1+0.22)^3 + (FORECAST!D20*(1+0.04)/(0.22-0.04))/(1+0.22)^3) - $B$6)/$B$7)</f>
        <v>243.85037536372758</v>
      </c>
    </row>
    <row r="26" spans="1:10" x14ac:dyDescent="0.25">
      <c r="A26" s="78">
        <v>0.05</v>
      </c>
      <c r="B26" s="46">
        <f>IF(0.14-0.05&lt;=0,"-",((FORECAST!B20/(1+0.14)^1 + FORECAST!C20/(1+0.14)^2 + FORECAST!D20/(1+0.14)^3 + (FORECAST!D20*(1+0.05)/(0.14-0.05))/(1+0.14)^3) - $B$6)/$B$7)</f>
        <v>420.51239438452023</v>
      </c>
      <c r="C26" s="46">
        <f>IF(0.16-0.05&lt;=0,"-",((FORECAST!B20/(1+0.16)^1 + FORECAST!C20/(1+0.16)^2 + FORECAST!D20/(1+0.16)^3 + (FORECAST!D20*(1+0.05)/(0.16-0.05))/(1+0.16)^3) - $B$6)/$B$7)</f>
        <v>355.29258288707717</v>
      </c>
      <c r="D26" s="46">
        <f>IF(0.18-0.05&lt;=0,"-",((FORECAST!B20/(1+0.18)^1 + FORECAST!C20/(1+0.18)^2 + FORECAST!D20/(1+0.18)^3 + (FORECAST!D20*(1+0.05)/(0.18-0.05))/(1+0.18)^3) - $B$6)/$B$7)</f>
        <v>310.12954576020172</v>
      </c>
      <c r="E26" s="46">
        <f>IF(0.2-0.05&lt;=0,"-",((FORECAST!B20/(1+0.2)^1 + FORECAST!C20/(1+0.2)^2 + FORECAST!D20/(1+0.2)^3 + (FORECAST!D20*(1+0.05)/(0.2-0.05))/(1+0.2)^3) - $B$6)/$B$7)</f>
        <v>277.00115466195837</v>
      </c>
      <c r="F26" s="46">
        <f>IF(0.22-0.05&lt;=0,"-",((FORECAST!B20/(1+0.22)^1 + FORECAST!C20/(1+0.22)^2 + FORECAST!D20/(1+0.22)^3 + (FORECAST!D20*(1+0.05)/(0.22-0.05))/(1+0.22)^3) - $B$6)/$B$7)</f>
        <v>251.66036052421737</v>
      </c>
    </row>
    <row r="27" spans="1:10" x14ac:dyDescent="0.25">
      <c r="A27" s="78">
        <v>0.06</v>
      </c>
      <c r="B27" s="46">
        <f>IF(0.14-0.06&lt;=0,"-",((FORECAST!B20/(1+0.14)^1 + FORECAST!C20/(1+0.14)^2 + FORECAST!D20/(1+0.14)^3 + (FORECAST!D20*(1+0.06)/(0.14-0.06))/(1+0.14)^3) - $B$6)/$B$7)</f>
        <v>458.52687817161626</v>
      </c>
      <c r="C27" s="46">
        <f>IF(0.16-0.06&lt;=0,"-",((FORECAST!B20/(1+0.16)^1 + FORECAST!C20/(1+0.16)^2 + FORECAST!D20/(1+0.16)^3 + (FORECAST!D20*(1+0.06)/(0.16-0.06))/(1+0.16)^3) - $B$6)/$B$7)</f>
        <v>379.32417991266306</v>
      </c>
      <c r="D27" s="46">
        <f>IF(0.18-0.06&lt;=0,"-",((FORECAST!B20/(1+0.18)^1 + FORECAST!C20/(1+0.18)^2 + FORECAST!D20/(1+0.18)^3 + (FORECAST!D20*(1+0.06)/(0.18-0.06))/(1+0.18)^3) - $B$6)/$B$7)</f>
        <v>326.50535171661676</v>
      </c>
      <c r="E27" s="46">
        <f>IF(0.2-0.06&lt;=0,"-",((FORECAST!B20/(1+0.2)^1 + FORECAST!C20/(1+0.2)^2 + FORECAST!D20/(1+0.2)^3 + (FORECAST!D20*(1+0.06)/(0.2-0.06))/(1+0.2)^3) - $B$6)/$B$7)</f>
        <v>288.76392207379411</v>
      </c>
      <c r="F27" s="46">
        <f>IF(0.22-0.06&lt;=0,"-",((FORECAST!B20/(1+0.22)^1 + FORECAST!C20/(1+0.22)^2 + FORECAST!D20/(1+0.22)^3 + (FORECAST!D20*(1+0.06)/(0.22-0.06))/(1+0.22)^3) - $B$6)/$B$7)</f>
        <v>260.44659382976829</v>
      </c>
    </row>
    <row r="29" spans="1:10" x14ac:dyDescent="0.25">
      <c r="A29" s="38">
        <f>B19</f>
        <v>207.42435235285495</v>
      </c>
      <c r="B29" s="35">
        <v>0.14000000000000001</v>
      </c>
      <c r="C29" s="35">
        <v>0.16</v>
      </c>
      <c r="D29" s="35">
        <v>0.18</v>
      </c>
      <c r="E29" s="35">
        <v>0.2</v>
      </c>
      <c r="F29" s="35">
        <v>0.22</v>
      </c>
    </row>
    <row r="30" spans="1:10" x14ac:dyDescent="0.25">
      <c r="A30" s="35">
        <v>0.02</v>
      </c>
      <c r="B30" s="18">
        <v>344.48342681032801</v>
      </c>
      <c r="C30" s="18">
        <v>303.79630354653602</v>
      </c>
      <c r="D30" s="18">
        <v>273.28398235826802</v>
      </c>
      <c r="E30" s="18">
        <v>249.554697367675</v>
      </c>
      <c r="F30" s="18">
        <v>230.57340059089501</v>
      </c>
    </row>
    <row r="31" spans="1:10" x14ac:dyDescent="0.25">
      <c r="A31" s="35">
        <v>0.03</v>
      </c>
      <c r="B31" s="18">
        <v>365.21859978510798</v>
      </c>
      <c r="C31" s="18">
        <v>318.32089515540702</v>
      </c>
      <c r="D31" s="18">
        <v>283.92825622993797</v>
      </c>
      <c r="E31" s="18">
        <v>257.62718480717001</v>
      </c>
      <c r="F31" s="18">
        <v>236.86249390434199</v>
      </c>
    </row>
    <row r="32" spans="1:10" x14ac:dyDescent="0.25">
      <c r="A32" s="35">
        <v>0.04</v>
      </c>
      <c r="B32" s="18">
        <v>390.10080735484303</v>
      </c>
      <c r="C32" s="18">
        <v>335.26625203242202</v>
      </c>
      <c r="D32" s="18">
        <v>296.09314065470301</v>
      </c>
      <c r="E32" s="18">
        <v>266.70873317660198</v>
      </c>
      <c r="F32" s="18">
        <v>243.85037536372801</v>
      </c>
    </row>
    <row r="33" spans="1:6" x14ac:dyDescent="0.25">
      <c r="A33" s="35">
        <v>0.05</v>
      </c>
      <c r="B33" s="18">
        <v>420.51239438452001</v>
      </c>
      <c r="C33" s="18">
        <v>355.292582887077</v>
      </c>
      <c r="D33" s="18">
        <v>310.12954576020201</v>
      </c>
      <c r="E33" s="18">
        <v>277.00115466195803</v>
      </c>
      <c r="F33" s="18">
        <v>251.660360524217</v>
      </c>
    </row>
    <row r="34" spans="1:6" x14ac:dyDescent="0.25">
      <c r="A34" s="35">
        <v>0.06</v>
      </c>
      <c r="B34" s="18">
        <v>458.52687817161598</v>
      </c>
      <c r="C34" s="18">
        <v>379.324179912663</v>
      </c>
      <c r="D34" s="18">
        <v>326.50535171661699</v>
      </c>
      <c r="E34" s="18">
        <v>288.76392207379399</v>
      </c>
      <c r="F34" s="18">
        <v>260.44659382976801</v>
      </c>
    </row>
  </sheetData>
  <mergeCells count="5">
    <mergeCell ref="A1:H1"/>
    <mergeCell ref="A3:H3"/>
    <mergeCell ref="A9:H9"/>
    <mergeCell ref="A16:H16"/>
    <mergeCell ref="A21:H21"/>
  </mergeCells>
  <pageMargins left="0.7" right="0.7" top="0.75" bottom="0.75"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9"/>
  <sheetViews>
    <sheetView showGridLines="0" zoomScaleNormal="100" workbookViewId="0">
      <selection activeCell="E34" sqref="E34"/>
    </sheetView>
  </sheetViews>
  <sheetFormatPr defaultColWidth="9.140625" defaultRowHeight="15" x14ac:dyDescent="0.25"/>
  <cols>
    <col min="1" max="1" width="10.7109375" style="10" customWidth="1"/>
    <col min="2" max="2" width="9.28515625" style="10" customWidth="1"/>
    <col min="3" max="3" width="18.7109375" style="10" customWidth="1"/>
    <col min="4" max="4" width="11.42578125" style="10" customWidth="1"/>
    <col min="5" max="5" width="13.42578125" style="10" customWidth="1"/>
    <col min="6" max="6" width="15.7109375" style="10" customWidth="1"/>
    <col min="7" max="7" width="8.85546875" style="10" customWidth="1"/>
    <col min="8" max="8" width="12" style="10" customWidth="1"/>
    <col min="9" max="16384" width="9.140625" style="10"/>
  </cols>
  <sheetData>
    <row r="1" spans="1:8" ht="20.25" customHeight="1" x14ac:dyDescent="0.25">
      <c r="A1" s="3" t="s">
        <v>231</v>
      </c>
      <c r="B1" s="3"/>
      <c r="C1" s="3"/>
      <c r="D1" s="3"/>
      <c r="E1" s="3"/>
      <c r="F1" s="3"/>
      <c r="G1" s="3"/>
      <c r="H1" s="3"/>
    </row>
    <row r="2" spans="1:8" x14ac:dyDescent="0.25">
      <c r="A2" s="2"/>
      <c r="B2" s="2"/>
      <c r="C2" s="2"/>
      <c r="D2" s="2"/>
      <c r="E2" s="2"/>
      <c r="F2" s="2"/>
      <c r="G2" s="2"/>
      <c r="H2" s="2"/>
    </row>
    <row r="4" spans="1:8" ht="15" customHeight="1" x14ac:dyDescent="0.25">
      <c r="A4" s="1" t="s">
        <v>232</v>
      </c>
      <c r="B4" s="1"/>
      <c r="C4" s="1"/>
      <c r="D4" s="1"/>
      <c r="E4" s="1"/>
      <c r="F4" s="1"/>
      <c r="G4" s="1"/>
      <c r="H4" s="1"/>
    </row>
    <row r="5" spans="1:8" ht="15" customHeight="1" x14ac:dyDescent="0.25">
      <c r="A5" s="92" t="s">
        <v>180</v>
      </c>
      <c r="B5" s="92"/>
      <c r="C5" s="92" t="s">
        <v>123</v>
      </c>
      <c r="D5" s="92"/>
      <c r="E5" s="92" t="s">
        <v>126</v>
      </c>
      <c r="F5" s="92"/>
      <c r="G5" s="92" t="s">
        <v>132</v>
      </c>
      <c r="H5" s="92"/>
    </row>
    <row r="6" spans="1:8" ht="18.75" customHeight="1" x14ac:dyDescent="0.25">
      <c r="A6" s="80">
        <f>INCOME_S!D4</f>
        <v>463697.86099999998</v>
      </c>
      <c r="B6" s="81"/>
      <c r="C6" s="82">
        <f>RATIOS!D5</f>
        <v>0.64897910754002797</v>
      </c>
      <c r="D6" s="81"/>
      <c r="E6" s="82">
        <f>RATIOS!D6</f>
        <v>0.45067227730860704</v>
      </c>
      <c r="F6" s="81"/>
      <c r="G6" s="82">
        <f>RATIOS!D8</f>
        <v>0.16711427671027146</v>
      </c>
      <c r="H6" s="81"/>
    </row>
    <row r="8" spans="1:8" ht="25.35" customHeight="1" x14ac:dyDescent="0.25">
      <c r="A8" s="92" t="s">
        <v>183</v>
      </c>
      <c r="B8" s="92"/>
      <c r="C8" s="92" t="s">
        <v>233</v>
      </c>
      <c r="D8" s="92"/>
      <c r="E8" s="92" t="s">
        <v>234</v>
      </c>
      <c r="F8" s="92"/>
      <c r="G8" s="92" t="s">
        <v>235</v>
      </c>
      <c r="H8" s="92"/>
    </row>
    <row r="9" spans="1:8" ht="18.75" customHeight="1" x14ac:dyDescent="0.25">
      <c r="A9" s="83">
        <f>RATIOS!D10</f>
        <v>0.28289403590983114</v>
      </c>
      <c r="B9" s="81"/>
      <c r="C9" s="83">
        <f>RATIOS!D12</f>
        <v>0.50132089236316313</v>
      </c>
      <c r="D9" s="81"/>
      <c r="E9" s="80">
        <f>CF_S!D10</f>
        <v>258613.24099999998</v>
      </c>
      <c r="F9" s="81"/>
      <c r="G9" s="80">
        <f>DCF!B19</f>
        <v>207.42435235285495</v>
      </c>
      <c r="H9" s="81"/>
    </row>
    <row r="11" spans="1:8" ht="15" customHeight="1" x14ac:dyDescent="0.25">
      <c r="A11" s="1" t="s">
        <v>236</v>
      </c>
      <c r="B11" s="1"/>
      <c r="C11" s="1"/>
      <c r="D11" s="1"/>
      <c r="E11" s="1"/>
      <c r="F11" s="1"/>
      <c r="G11" s="1"/>
      <c r="H11" s="1"/>
    </row>
    <row r="12" spans="1:8" ht="42.75" customHeight="1" x14ac:dyDescent="0.25">
      <c r="A12" s="84" t="s">
        <v>2</v>
      </c>
      <c r="B12" s="84" t="s">
        <v>180</v>
      </c>
      <c r="C12" s="84" t="s">
        <v>237</v>
      </c>
      <c r="D12" s="84" t="s">
        <v>123</v>
      </c>
      <c r="E12" s="84" t="s">
        <v>238</v>
      </c>
    </row>
    <row r="13" spans="1:8" x14ac:dyDescent="0.25">
      <c r="A13" s="85" t="s">
        <v>65</v>
      </c>
      <c r="B13" s="86">
        <f>INCOME_S!B4</f>
        <v>335463.72499999998</v>
      </c>
      <c r="C13" s="86">
        <f>INCOME_S!B12</f>
        <v>133783.74699999997</v>
      </c>
      <c r="D13" s="87">
        <f>RATIOS!B5</f>
        <v>0.70011014156597706</v>
      </c>
      <c r="E13" s="86">
        <f>CF_S!B4</f>
        <v>72364.346000000005</v>
      </c>
    </row>
    <row r="14" spans="1:8" x14ac:dyDescent="0.25">
      <c r="A14" s="85" t="s">
        <v>66</v>
      </c>
      <c r="B14" s="86">
        <f>INCOME_S!C4</f>
        <v>413594.00900000002</v>
      </c>
      <c r="C14" s="86">
        <f>INCOME_S!C12</f>
        <v>224617.79700000005</v>
      </c>
      <c r="D14" s="87">
        <f>RATIOS!C5</f>
        <v>0.93929774016625089</v>
      </c>
      <c r="E14" s="86">
        <f>CF_S!C4</f>
        <v>27817.162</v>
      </c>
    </row>
    <row r="15" spans="1:8" x14ac:dyDescent="0.25">
      <c r="A15" s="85" t="s">
        <v>67</v>
      </c>
      <c r="B15" s="86">
        <f>INCOME_S!D4</f>
        <v>463697.86099999998</v>
      </c>
      <c r="C15" s="86">
        <f>INCOME_S!D12</f>
        <v>208975.77099999992</v>
      </c>
      <c r="D15" s="87">
        <f>RATIOS!D5</f>
        <v>0.64897910754002797</v>
      </c>
      <c r="E15" s="86">
        <f>CF_S!D4</f>
        <v>104763.92</v>
      </c>
    </row>
    <row r="18" spans="1:8" ht="15" customHeight="1" x14ac:dyDescent="0.25">
      <c r="A18" s="1" t="s">
        <v>239</v>
      </c>
      <c r="B18" s="1"/>
      <c r="C18" s="1"/>
      <c r="D18" s="1"/>
      <c r="E18" s="1"/>
      <c r="F18" s="1"/>
      <c r="G18" s="1"/>
      <c r="H18" s="1"/>
    </row>
    <row r="19" spans="1:8" ht="42.75" customHeight="1" x14ac:dyDescent="0.25">
      <c r="A19" s="84" t="s">
        <v>2</v>
      </c>
      <c r="B19" s="84" t="s">
        <v>180</v>
      </c>
      <c r="C19" s="84" t="s">
        <v>240</v>
      </c>
      <c r="D19" s="84" t="s">
        <v>241</v>
      </c>
      <c r="F19" s="93" t="s">
        <v>242</v>
      </c>
      <c r="G19" s="93"/>
      <c r="H19" s="93"/>
    </row>
    <row r="20" spans="1:8" x14ac:dyDescent="0.25">
      <c r="A20" s="85" t="s">
        <v>196</v>
      </c>
      <c r="B20" s="86">
        <f>FORECAST!B14</f>
        <v>486882.75404999999</v>
      </c>
      <c r="C20" s="86">
        <f>FORECAST!B20</f>
        <v>144834.19705546644</v>
      </c>
      <c r="D20" s="86">
        <f>DCF!D11</f>
        <v>114515.34369062417</v>
      </c>
      <c r="F20" s="88" t="s">
        <v>21</v>
      </c>
      <c r="G20" s="87">
        <f>INPUTS!B12</f>
        <v>0.26475799999999999</v>
      </c>
      <c r="H20" s="89"/>
    </row>
    <row r="21" spans="1:8" x14ac:dyDescent="0.25">
      <c r="A21" s="85" t="s">
        <v>197</v>
      </c>
      <c r="B21" s="86">
        <f>FORECAST!C14</f>
        <v>511226.89175250003</v>
      </c>
      <c r="C21" s="86">
        <f>FORECAST!C20</f>
        <v>148888.7348649085</v>
      </c>
      <c r="D21" s="86">
        <f>DCF!D12</f>
        <v>93077.984246292894</v>
      </c>
      <c r="F21" s="88" t="s">
        <v>243</v>
      </c>
      <c r="G21" s="87">
        <f>INPUTS!B13</f>
        <v>0.04</v>
      </c>
      <c r="H21" s="89"/>
    </row>
    <row r="22" spans="1:8" x14ac:dyDescent="0.25">
      <c r="A22" s="85" t="s">
        <v>198</v>
      </c>
      <c r="B22" s="86">
        <f>FORECAST!D14</f>
        <v>536788.23634012509</v>
      </c>
      <c r="C22" s="86">
        <f>FORECAST!D20</f>
        <v>152986.64096265615</v>
      </c>
      <c r="D22" s="86">
        <f>DCF!D13</f>
        <v>75619.047689765284</v>
      </c>
      <c r="F22" s="88" t="s">
        <v>244</v>
      </c>
      <c r="G22" s="86">
        <f>DCF!B17</f>
        <v>633116.75988600077</v>
      </c>
      <c r="H22" s="89"/>
    </row>
    <row r="23" spans="1:8" ht="28.5" customHeight="1" x14ac:dyDescent="0.25">
      <c r="F23" s="88" t="s">
        <v>245</v>
      </c>
      <c r="G23" s="86">
        <f>DCF!B18</f>
        <v>892117.2878860007</v>
      </c>
      <c r="H23" s="89"/>
    </row>
    <row r="24" spans="1:8" ht="28.5" customHeight="1" x14ac:dyDescent="0.25">
      <c r="F24" s="88" t="s">
        <v>246</v>
      </c>
      <c r="G24" s="86">
        <f>DCF!B19</f>
        <v>207.42435235285495</v>
      </c>
      <c r="H24" s="89"/>
    </row>
    <row r="26" spans="1:8" x14ac:dyDescent="0.25">
      <c r="A26" s="90"/>
      <c r="B26" s="90"/>
      <c r="C26" s="90"/>
      <c r="D26" s="90"/>
      <c r="E26" s="90"/>
      <c r="F26" s="90"/>
      <c r="G26" s="90"/>
      <c r="H26" s="90"/>
    </row>
    <row r="27" spans="1:8" x14ac:dyDescent="0.25">
      <c r="A27" s="91"/>
      <c r="B27" s="91"/>
      <c r="C27" s="91"/>
      <c r="D27" s="91"/>
      <c r="E27" s="91"/>
      <c r="F27" s="91"/>
      <c r="G27" s="91"/>
      <c r="H27" s="91"/>
    </row>
    <row r="28" spans="1:8" x14ac:dyDescent="0.25">
      <c r="A28" s="91"/>
      <c r="B28" s="91"/>
      <c r="C28" s="91"/>
      <c r="D28" s="91"/>
      <c r="E28" s="91"/>
      <c r="F28" s="91"/>
      <c r="G28" s="91"/>
      <c r="H28" s="91"/>
    </row>
    <row r="29" spans="1:8" x14ac:dyDescent="0.25">
      <c r="A29" s="91"/>
      <c r="B29" s="91"/>
      <c r="C29" s="91"/>
      <c r="D29" s="91"/>
      <c r="E29" s="91"/>
      <c r="F29" s="91"/>
      <c r="G29" s="91"/>
      <c r="H29" s="91"/>
    </row>
  </sheetData>
  <mergeCells count="14">
    <mergeCell ref="A18:H18"/>
    <mergeCell ref="F19:H19"/>
    <mergeCell ref="A8:B8"/>
    <mergeCell ref="C8:D8"/>
    <mergeCell ref="E8:F8"/>
    <mergeCell ref="G8:H8"/>
    <mergeCell ref="A11:H11"/>
    <mergeCell ref="A1:H1"/>
    <mergeCell ref="A2:H2"/>
    <mergeCell ref="A4:H4"/>
    <mergeCell ref="A5:B5"/>
    <mergeCell ref="C5:D5"/>
    <mergeCell ref="E5:F5"/>
    <mergeCell ref="G5:H5"/>
  </mergeCells>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OGDCL</vt:lpstr>
      <vt:lpstr>DCF_INPUT_CALCS</vt:lpstr>
      <vt:lpstr>INPUTS</vt:lpstr>
      <vt:lpstr>INCOME_S</vt:lpstr>
      <vt:lpstr>BALANCE_S</vt:lpstr>
      <vt:lpstr>CF_S</vt:lpstr>
      <vt:lpstr>COMMON_SIZE</vt:lpstr>
      <vt:lpstr>RATIOS</vt:lpstr>
      <vt:lpstr>POL_PEER</vt:lpstr>
      <vt:lpstr>PEER_COMP</vt:lpstr>
      <vt:lpstr>FORECAST</vt:lpstr>
      <vt:lpstr>DCF</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Waqas Abid</cp:lastModifiedBy>
  <cp:revision>2</cp:revision>
  <dcterms:created xsi:type="dcterms:W3CDTF">2026-02-28T18:44:43Z</dcterms:created>
  <dcterms:modified xsi:type="dcterms:W3CDTF">2026-03-04T16:55:02Z</dcterms:modified>
  <dc:language>en-US</dc:language>
</cp:coreProperties>
</file>